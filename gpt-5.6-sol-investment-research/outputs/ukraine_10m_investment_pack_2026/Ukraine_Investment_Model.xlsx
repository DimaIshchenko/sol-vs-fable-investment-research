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6539a55a4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ce91ed0ed7d4396"/>
    <x:sheet xmlns:r="http://schemas.openxmlformats.org/officeDocument/2006/relationships" name="Sources" sheetId="2" r:id="R05fbd442716140e5"/>
    <x:sheet xmlns:r="http://schemas.openxmlformats.org/officeDocument/2006/relationships" name="Sector Screen" sheetId="3" r:id="Rc2a1120e21584ec3"/>
    <x:sheet xmlns:r="http://schemas.openxmlformats.org/officeDocument/2006/relationships" name="Opportunity Assumptions" sheetId="4" r:id="R3bad10d0e31647da"/>
    <x:sheet xmlns:r="http://schemas.openxmlformats.org/officeDocument/2006/relationships" name="Cash Flows" sheetId="5" r:id="Rc16037d243094fb6"/>
    <x:sheet xmlns:r="http://schemas.openxmlformats.org/officeDocument/2006/relationships" name="Portfolio &amp; Scenarios" sheetId="6" r:id="Reb70e99115fc425e"/>
    <x:sheet xmlns:r="http://schemas.openxmlformats.org/officeDocument/2006/relationships" name="Checks" sheetId="7" r:id="Rd3998bf49caf4921"/>
  </x:sheets>
</x:workbook>
</file>

<file path=xl/comments1.xml><?xml version="1.0" encoding="utf-8"?>
<x:comments xmlns:x="http://schemas.openxmlformats.org/spreadsheetml/2006/main">
  <x:authors>
    <x:author>tc={36EC2A31-4ED1-0889-633B-1532370B26D1}</x:author>
    <x:author>tc={A8A6166D-B2A0-BFD3-9FF0-CCF446D69BCB}</x:author>
    <x:author>tc={5BBA14F4-AEB0-814C-063C-A831AA828F3E}</x:author>
    <x:author>tc={D43E6D35-AEE0-B07D-47CF-3F55755F6F3C}</x:author>
    <x:author>tc={977F8615-9BFD-9351-895F-8A78EBDABDE8}</x:author>
    <x:author>tc={315336E7-0BE9-946B-F64C-D383AEBEE563}</x:author>
    <x:author>tc={74485DD1-8B97-8CC1-8D5A-5E3281EC5B9E}</x:author>
    <x:author>tc={98297993-3786-96D3-0063-6B74F507B347}</x:author>
    <x:author>tc={F8EE3629-AB27-8866-A76B-964646E3991E}</x:author>
    <x:author>tc={73160686-81F2-D52D-52F2-54786AFE40A8}</x:author>
    <x:author>tc={16AEA6D3-3BF8-FE72-1992-A6F45F2CC271}</x:author>
    <x:author>tc={6145EDA4-367E-07EA-470F-29BE89125C0D}</x:author>
    <x:author>tc={27598C98-5D89-B697-E988-B6DF56CA4192}</x:author>
    <x:author>tc={D7518851-1253-EC69-0F32-833DBDEA22E3}</x:author>
    <x:author>tc={157A5F38-DA55-D1FE-09D8-1CB2FBC1FE14}</x:author>
    <x:author>tc={9BAF53A4-907A-5B31-942F-1B6911C5A52B}</x:author>
    <x:author>tc={83F180B3-94DA-0196-096E-30790ED740CB}</x:author>
    <x:author>tc={329D776D-906E-0F52-1818-DF170FD2E6FA}</x:author>
    <x:author>tc={428F2853-8F22-EBB0-8FD9-AA390EE6CE7C}</x:author>
    <x:author>tc={FAF406B8-F16E-6E63-38F8-658C0D4ED3A0}</x:author>
    <x:author>tc={EC9A5DC3-C312-25D1-F672-D7496CA10160}</x:author>
    <x:author>tc={03B8295F-926F-E7BB-BD62-8356B7B89D43}</x:author>
    <x:author>tc={D5BCA02E-A9F9-7144-42D4-C62AACA7E9BD}</x:author>
    <x:author>tc={E18735ED-7D5B-3408-8E59-C186C5519C1A}</x:author>
    <x:author>tc={04745B49-16B4-931B-A302-76C822FB13F7}</x:author>
    <x:author>tc={32BC7C86-A7EA-CF0D-CBEA-3B0B801870CA}</x:author>
    <x:author>tc={DEFFF177-8B63-A053-D2DE-A86BF627F2C4}</x:author>
    <x:author>tc={62677498-DACD-4E26-9901-82DD9014EF11}</x:author>
    <x:author>tc={5D7D29AD-8F21-97E0-EDF4-2835FC9E7D15}</x:author>
    <x:author>tc={33EF2F0A-6BE4-C1CE-2598-A789649CA787}</x:author>
    <x:author>tc={DE4D4DAA-0739-7C04-CD4B-6864D2F2DFCD}</x:author>
    <x:author>tc={D1029CBD-9E34-1B40-39F7-BF1AEADFF07C}</x:author>
    <x:author>tc={1B3BE0DA-90CE-4025-A9DF-7B95B8BE9541}</x:author>
    <x:author>tc={57EF89B6-112C-5672-41FA-692DB4D172E9}</x:author>
    <x:author>tc={A0926E9E-54A1-256E-3811-C211158B08B8}</x:author>
    <x:author>tc={ABB78784-2D25-C98C-1226-25C645E78E2A}</x:author>
    <x:author>tc={6C1B7046-BE05-BA51-701F-008110B482E6}</x:author>
    <x:author>tc={1CF3F4FF-0DE7-F2AE-9013-CFE48029278B}</x:author>
    <x:author>tc={699EF60E-98E0-FCDB-751D-56415D017BBA}</x:author>
    <x:author>tc={89A93AB5-B198-B828-C48B-F4E92EC7E1E8}</x:author>
    <x:author>tc={F2D00B5A-AC64-29F9-931C-715C7AC7C6C9}</x:author>
    <x:author>tc={F30CE4A9-BD53-9D4C-68CC-65000B2DDBA1}</x:author>
    <x:author>tc={C0505328-8B40-3E30-2B2A-B8D25D713A9F}</x:author>
    <x:author>tc={570F61B8-EC02-05CF-C038-32344D9A381E}</x:author>
    <x:author>tc={058B00F6-B777-5861-5C2A-3DDA93B2571B}</x:author>
    <x:author>tc={A76C0F87-CE22-A9AE-B6ED-777759B4CFCA}</x:author>
    <x:author>tc={ADAE2A56-3DCB-FA04-F2D2-79EB8872F833}</x:author>
    <x:author>tc={DAD5CCF2-3235-AE37-A690-E83F7D56FEB5}</x:author>
    <x:author>tc={90C9A03C-F6F9-592C-4CBD-7412936AA306}</x:author>
    <x:author>tc={DC023F24-94BE-93D1-4BC0-3F543A110FE1}</x:author>
    <x:author>tc={D64D6972-D4C6-E4F4-4F8B-C255E8062F92}</x:author>
    <x:author>tc={9C9A1E11-279E-1CD5-1C77-090F5F65E7AB}</x:author>
    <x:author>tc={E3665639-2135-D411-A197-CF3DBCF17110}</x:author>
    <x:author>tc={625BB449-0142-CCF1-DEFB-63AFD49A6E7B}</x:author>
    <x:author>tc={F638ECBA-BF90-B5D1-418E-FA6FC39B8735}</x:author>
    <x:author>tc={35231A1B-0FC2-A42F-5941-5486EE9E94FC}</x:author>
    <x:author>tc={808FAC1C-6255-D9AB-07AF-51F192F1F817}</x:author>
    <x:author>tc={F969C36C-843F-4923-9B39-0635AA9BB323}</x:author>
    <x:author>tc={5769F65F-DC40-5F32-ABD8-A481926E5F5C}</x:author>
    <x:author>tc={24A8DD71-211E-56C1-E34A-C843AB4B9466}</x:author>
    <x:author>tc={141B1EED-4A33-D29B-7184-9635A2DCD78D}</x:author>
    <x:author>tc={C13DF55E-2AE3-8705-3F74-8DB75667A759}</x:author>
    <x:author>tc={3B932C48-69B3-A035-E77E-55E9B53C5E26}</x:author>
    <x:author>tc={74A553C3-1F95-51F9-7EFA-D921D07F2BB3}</x:author>
    <x:author>tc={A461BF5A-9071-8359-B552-323168ECB542}</x:author>
    <x:author>tc={9E50B2B7-6D8B-989E-1A07-BA80A38B4A02}</x:author>
    <x:author>tc={3C092A8F-4609-AF94-37B7-B5FC166FF168}</x:author>
    <x:author>tc={9AF61D64-B12C-8188-2C3E-E2C9E5F6A66B}</x:author>
    <x:author>tc={9E3484AE-CC74-EBEE-A9D6-17923FB2D3E6}</x:author>
    <x:author>tc={3CFFA7D2-206B-F296-1CC5-F36C8DE834F5}</x:author>
    <x:author>tc={4211D4F3-F741-00EF-A974-2568D6BF85D0}</x:author>
    <x:author>tc={E7CD8DEC-39BE-7F24-220F-025CA2AEB1EC}</x:author>
    <x:author>tc={67B5DCD3-5EA9-F754-A783-DD413E46B1F9}</x:author>
    <x:author>tc={2EB043DA-6889-DB87-94AA-007F8B0D1191}</x:author>
    <x:author>tc={F7B9F4B2-A420-3C8F-1A94-B9E43BE2DB3E}</x:author>
    <x:author>tc={9DFC2FF6-BA2F-C68C-AD81-8A5EDFE3E27F}</x:author>
    <x:author>tc={AB237176-85B7-4F88-30C7-391C8F936004}</x:author>
    <x:author>tc={D957ECFD-5F37-5989-9F4E-83ED199203DE}</x:author>
    <x:author>tc={15FDD3AF-5388-2901-ABA2-449C3E03D060}</x:author>
    <x:author>tc={5A5AB2F9-FB61-A77B-2A2A-4667CC15F31C}</x:author>
    <x:author>tc={C77E634F-B394-FFD9-27D3-A5801E918B35}</x:author>
    <x:author>tc={BA4BC2B7-6AC6-E53C-1289-E041F5926D94}</x:author>
    <x:author>tc={EAD23B65-A44D-A1FD-74F7-789829E9900E}</x:author>
    <x:author>tc={F90BE2FD-35E0-0ED7-F652-C00DBC58044C}</x:author>
    <x:author>tc={4203E6CB-8A5C-C60B-A8F7-604B2618BC07}</x:author>
    <x:author>tc={CE334F3F-4377-6CEE-3ECB-5EDD58020B9C}</x:author>
    <x:author>tc={8CFD8935-E143-42F1-1574-CAF9D85BFCDE}</x:author>
    <x:author>tc={FB66D336-9DE9-D5A4-DDE9-D256ADBFFB5F}</x:author>
    <x:author>tc={CE2CC4A1-107E-DD78-B418-94CA590949DF}</x:author>
    <x:author>tc={835DCB31-89E2-6AAF-D2ED-E228BED9278C}</x:author>
    <x:author>tc={A1FA46DC-34FE-DCAB-77F4-7B8CF3BE6428}</x:author>
    <x:author>tc={4DF5B8DB-0F0B-504D-DEC4-06E726D93436}</x:author>
    <x:author>tc={B498ACBE-E346-1544-0ACA-E5337ACEFFA2}</x:author>
    <x:author>tc={EEE4F9CC-2FAD-260B-CE87-A769C663CCEE}</x:author>
    <x:author>tc={F228F8F9-B989-6EF0-0515-C5A1A5989E25}</x:author>
    <x:author>tc={CFE5A7C9-E5D6-827C-97FA-651BB51F0560}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72.</x:t>
        </x:r>
      </x:text>
    </x:comment>
    <x:comment ref="E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72.</x:t>
        </x:r>
      </x:text>
    </x:comment>
    <x:comment ref="F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28.</x:t>
        </x:r>
      </x:text>
    </x:comment>
    <x:comment ref="E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28.</x:t>
        </x:r>
      </x:text>
    </x:comment>
    <x:comment ref="F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27.</x:t>
        </x:r>
      </x:text>
    </x:comment>
    <x:comment ref="E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27.</x:t>
        </x:r>
      </x:text>
    </x:comment>
    <x:comment ref="F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8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8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23.</x:t>
        </x:r>
      </x:text>
    </x:comment>
    <x:comment ref="E9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23.</x:t>
        </x:r>
      </x:text>
    </x:comment>
    <x:comment ref="F9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9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9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9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9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9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63.</x:t>
        </x:r>
      </x:text>
    </x:comment>
    <x:comment ref="E10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63.</x:t>
        </x:r>
      </x:text>
    </x:comment>
    <x:comment ref="F1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0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0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0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42.</x:t>
        </x:r>
      </x:text>
    </x:comment>
    <x:comment ref="E11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42.</x:t>
        </x:r>
      </x:text>
    </x:comment>
    <x:comment ref="F1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1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1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1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2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10.</x:t>
        </x:r>
      </x:text>
    </x:comment>
    <x:comment ref="E12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10.</x:t>
        </x:r>
      </x:text>
    </x:comment>
    <x:comment ref="F12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2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2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2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2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2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3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52.</x:t>
        </x:r>
      </x:text>
    </x:comment>
    <x:comment ref="E13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52.</x:t>
        </x:r>
      </x:text>
    </x:comment>
    <x:comment ref="F1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3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3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3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3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3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4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33.</x:t>
        </x:r>
      </x:text>
    </x:comment>
    <x:comment ref="E14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33.</x:t>
        </x:r>
      </x:text>
    </x:comment>
    <x:comment ref="F14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4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4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4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4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4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5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38.</x:t>
        </x:r>
      </x:text>
    </x:comment>
    <x:comment ref="E15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38.</x:t>
        </x:r>
      </x:text>
    </x:comment>
    <x:comment ref="F15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5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6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35.</x:t>
        </x:r>
      </x:text>
    </x:comment>
    <x:comment ref="E1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35.</x:t>
        </x:r>
      </x:text>
    </x:comment>
    <x:comment ref="F1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6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6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6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6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6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  <x:comment ref="D17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2025 operating profitability for NACE 62.</x:t>
        </x:r>
      </x:text>
    </x:comment>
    <x:comment ref="E17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S04: Ukrstat share of profitable enterprises in 2025 for NACE 62.</x:t>
        </x:r>
      </x:text>
    </x:comment>
    <x:comment ref="F17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S12: Ukrstat turnover deflated by cumulative NBU 2023-2024 GDP deflator. Approximation; wartime coverage caveat applies.</x:t>
        </x:r>
      </x:text>
    </x:comment>
    <x:comment ref="G17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 S02 and S03: 2024 gross operating surplus divided by latest available enterprise gross investment (generally 2023).</x:t>
        </x:r>
      </x:text>
    </x:comment>
    <x:comment ref="H17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score supported by official exports (S06/S07), NBU energy context (S12) and UkraineInvest priority sectors (S17/S18).</x:t>
        </x:r>
      </x:text>
    </x:comment>
    <x:comment ref="I17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structural-demand score supported by UkraineInvest official priorities (S17/S18).</x:t>
        </x:r>
      </x:text>
    </x:comment>
    <x:comment ref="J17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resilience/data-confidence score; considers S02-S04 territorial caveats and S19 geographic policy.</x:t>
        </x:r>
      </x:text>
    </x:comment>
    <x:comment ref="O17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2024 category export anchor from S06 or S07; context only, not attributed one-for-one to this NACE sector.</x:t>
        </x:r>
      </x:text>
    </x:comment>
  </x:commentList>
</x:comments>
</file>

<file path=xl/comments2.xml><?xml version="1.0" encoding="utf-8"?>
<x:comments xmlns:x="http://schemas.openxmlformats.org/spreadsheetml/2006/main">
  <x:authors>
    <x:author>tc={8B897604-DAEF-A81F-E358-05F36A908947}</x:author>
    <x:author>tc={9D21F300-9654-1A18-7F89-A0E9A7ADCC48}</x:author>
    <x:author>tc={938E7BAE-1F8D-F37D-B16A-F411B99B0D7C}</x:author>
    <x:author>tc={4C2F9161-407E-E7FD-3C32-3462EAADDE97}</x:author>
    <x:author>tc={756BFDEE-F9C9-57A5-0D87-7C53F2533855}</x:author>
    <x:author>tc={63CD5521-8E56-3F4A-5153-7D376D441940}</x:author>
    <x:author>tc={47C8604E-DD06-B8B2-2E0E-CD3185000B1A}</x:author>
    <x:author>tc={4FF908E0-161C-6AE0-A0BA-D172B130DC6A}</x:author>
    <x:author>tc={A41865A0-E038-7A7B-4CB6-2E2D30D0A61D}</x:author>
    <x:author>tc={09B197F3-8CDB-847B-3DA6-C96B3A89AF77}</x:author>
    <x:author>tc={A9EF501E-3998-04F5-86D4-5301AC10AC03}</x:author>
    <x:author>tc={54F30C0F-ABD2-78A4-F3B6-BE0F6BDE5295}</x:author>
    <x:author>tc={30318F52-8238-FDD0-5336-84286E6A17D5}</x:author>
    <x:author>tc={D6B9D077-35BC-B30A-846E-4DF05E9DB482}</x:author>
    <x:author>tc={889A3EF4-432E-4DF7-714A-C0DDC8CB3AB3}</x:author>
    <x:author>tc={407CE80E-27FC-9029-7B62-E115E5ABD429}</x:author>
    <x:author>tc={EA6A4253-A181-2680-F20F-7359F80DBA1A}</x:author>
    <x:author>tc={BB69876B-6475-9065-5513-D4DA5A5ED739}</x:author>
    <x:author>tc={2B7C5DAB-6315-7D5A-B49B-AD165F847648}</x:author>
    <x:author>tc={3E8E4708-E601-C637-2B85-A567DDB1BCA1}</x:author>
    <x:author>tc={2A171257-9A34-A1CC-DB16-17BD6CDE5627}</x:author>
    <x:author>tc={220CE5A8-9474-305E-75E8-A4AA27BB0CC3}</x:author>
    <x:author>tc={C3F39B8B-5CEB-35F8-16FC-7D7ECEB46816}</x:author>
    <x:author>tc={2A45E2D4-A3D4-CE00-36EF-97F0A9D7A4AA}</x:author>
    <x:author>tc={3A955671-0DE0-62EA-4086-E59CEE66ADBC}</x:author>
    <x:author>tc={167E5AA7-2CB3-8D60-DE48-6D1EB253BC25}</x:author>
    <x:author>tc={333787C6-C3E8-6A5F-549A-A909D86E0D89}</x:author>
    <x:author>tc={6CCD4145-DE6C-9150-F755-BB778CC34F45}</x:author>
    <x:author>tc={31D9D13D-9149-27A8-9AE8-9E31E6DBDD61}</x:author>
    <x:author>tc={165575FC-59CA-571D-1688-5069FF291BFF}</x:author>
    <x:author>tc={CD15BA0E-0169-FAF2-4685-BF2E30FEE04D}</x:author>
    <x:author>tc={84C9FD7F-85EF-7824-B477-42DA6B707D56}</x:author>
    <x:author>tc={4C1DF591-4B10-5DA9-F1F5-DDD9B93ADD6C}</x:author>
    <x:author>tc={EEAC13BA-033D-A378-D3E8-98B84FACFA1C}</x:author>
    <x:author>tc={7C38888B-C39C-DD56-AC31-4B8270101CDB}</x:author>
    <x:author>tc={E51DBC19-C1BB-C4AF-5402-7E92995C84BD}</x:author>
    <x:author>tc={2FF2CF93-4549-2B7F-8367-3B3950EE471A}</x:author>
    <x:author>tc={29EC7B71-0A91-C4C3-5B48-712CDC23A95C}</x:author>
    <x:author>tc={4AE703CC-F34B-FB8D-8803-09D40F2DF123}</x:author>
    <x:author>tc={6DFB6456-11C4-9DD8-785D-F5EB960700C5}</x:author>
    <x:author>tc={2354E7C8-B4F5-D56C-FB36-A0FF6709A0C4}</x:author>
    <x:author>tc={70A2FA8F-2439-8379-788F-F0C51D0B7755}</x:author>
    <x:author>tc={749842D6-09C7-8AAF-540E-A66E38469DE7}</x:author>
    <x:author>tc={174A449B-508E-135F-CC02-3737F0875AD1}</x:author>
    <x:author>tc={79CA3661-D0AD-27D6-403C-5713C08CF73A}</x:author>
    <x:author>tc={BF2B3417-03CF-C0D6-A906-3ADB70E33921}</x:author>
    <x:author>tc={5C6F6DAA-4555-9B60-0B89-C3AF9ACFFE9B}</x:author>
    <x:author>tc={7729F5F8-7009-AEB6-CA92-FD1CD6EAAA92}</x:author>
    <x:author>tc={949B2ADD-C8D3-FCCF-0642-F8393D6DF69F}</x:author>
    <x:author>tc={66B9A1E7-727C-E134-E07A-C8CC995ABF3A}</x:author>
    <x:author>tc={71746700-0F05-AA2E-9847-8EDE26A7B7F3}</x:author>
    <x:author>tc={1255EED4-7BA1-93E8-7B6D-72EA964922A6}</x:author>
    <x:author>tc={7EC336AC-F6DE-99F2-096B-780AC4EE7FC8}</x:author>
    <x:author>tc={08DA050D-024A-0539-CB17-072D66C5E3DD}</x:author>
    <x:author>tc={655371C4-F265-E980-926C-8471980A39D7}</x:author>
    <x:author>tc={DB74ECB7-D793-82F9-F5EE-73BB1D74A024}</x:author>
    <x:author>tc={672FD675-B145-0E97-D61F-1756B6BAAA97}</x:author>
    <x:author>tc={8E054570-C6BC-E884-9FF0-54D0DAA897A6}</x:author>
    <x:author>tc={98A9B65E-8DD9-F1E8-2F53-01A7B1C1B9C2}</x:author>
    <x:author>tc={C594A8DD-FD00-7F6B-D875-949830ED15E6}</x:author>
    <x:author>tc={29E98848-7A72-577E-29D0-335771330974}</x:author>
    <x:author>tc={C8B58A97-0D80-5785-4F1C-FC00A7E421BE}</x:author>
    <x:author>tc={35F48FE5-B78B-87E4-416A-FDB4A216C529}</x:author>
    <x:author>tc={6DA9739A-C746-3F26-1768-F2DE66509CBF}</x:author>
    <x:author>tc={24169461-5D42-4EE9-9DB2-54ACF279F724}</x:author>
    <x:author>tc={D177D322-8C2E-3C45-DF5B-DA9470206D7D}</x:author>
    <x:author>tc={EA45FCBC-52DC-BCB0-9915-560504DD0257}</x:author>
    <x:author>tc={100AF3E3-761E-A54B-90C6-3CC2CE3E2323}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F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G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H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I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K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L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M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N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O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P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Civilian dual-use sensing &amp; autonomy platform. Official sector anchors: S02-S07 and S12; this value is not an official forecast.</x:t>
        </x:r>
      </x:text>
    </x:comment>
    <x:comment ref="D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F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G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H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I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J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K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L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M7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N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O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P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Soy/protein processing &amp; traceable ingredients. Official sector anchors: S02-S07 and S12; this value is not an official forecast.</x:t>
        </x:r>
      </x:text>
    </x:comment>
    <x:comment ref="D8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F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G8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H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I8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J8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K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L8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M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N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O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P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Low-carbon construction materials plant. Official sector anchors: S02-S07 and S12; this value is not an official forecast.</x:t>
        </x:r>
      </x:text>
    </x:comment>
    <x:comment ref="D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F9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G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H9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I9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J9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K9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L9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M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N9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O9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P9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analyst assumption for Distributed industrial power &amp; storage SPV. Official sector anchors: S02-S07 and S12; this value is not an official forecast.</x:t>
        </x:r>
      </x:text>
    </x:comment>
    <x:comment ref="B20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S12: NBU inflation path through 2028.</x:t>
        </x:r>
      </x:text>
    </x:comment>
    <x:comment ref="C20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1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S12: NBU inflation path through 2028.</x:t>
        </x:r>
      </x:text>
    </x:comment>
    <x:comment ref="C21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2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S12: NBU inflation path through 2028.</x:t>
        </x:r>
      </x:text>
    </x:comment>
    <x:comment ref="C22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3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3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4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4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5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5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6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8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  <x:comment ref="B29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5% long-run inflation aligned with the NBU target; not an official forecast beyond the published horizon.</x:t>
        </x:r>
      </x:text>
    </x:comment>
    <x:comment ref="C29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FX depreciation assumption. Source S14 supplies official historical/current rates; NBU does not publish this model path as an FX forecast.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x"/>
    <x:numFmt numFmtId="202" formatCode="$0.0"/>
    <x:numFmt numFmtId="203" formatCode="0.0"/>
    <x:numFmt numFmtId="204" formatCode="$#,##0.0"/>
    <x:numFmt numFmtId="205" formatCode="$0.00"/>
    <x:numFmt numFmtId="206" formatCode="0.00x"/>
    <x:numFmt numFmtId="207" formatCode="0%"/>
  </x:numFmts>
  <x:fonts count="2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0B1F3A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b/>
      <x:sz val="11"/>
      <x:color rgb="FF3D8D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  <x:font>
      <x:b/>
      <x:sz val="18"/>
      <x:color rgb="FFFFFFFF"/>
      <x:name val="Arial"/>
    </x:font>
    <x:font>
      <x:i/>
      <x:sz val="10"/>
      <x:color rgb="FF475569"/>
      <x:name val="Arial"/>
    </x:font>
    <x:font>
      <x:sz val="11"/>
      <x:name val="Arial"/>
    </x:font>
    <x:font>
      <x:b/>
      <x:sz val="11"/>
      <x:color rgb="FF0B1F3A"/>
      <x:name val="Arial"/>
    </x:font>
    <x:font>
      <x:sz val="11"/>
      <x:color rgb="FF008000"/>
      <x:name val="Arial"/>
    </x:font>
    <x:font>
      <x:b/>
      <x:sz val="11"/>
      <x:color rgb="FFFFFFFF"/>
      <x:name val="Arial"/>
    </x:font>
    <x:font>
      <x:b/>
      <x:sz val="11"/>
      <x:color rgb="FF3D8DFF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1"/>
      <x:color rgb="FF000000"/>
      <x:name val="Arial"/>
    </x:font>
    <x:font>
      <x:b/>
      <x:sz val="11"/>
      <x:color rgb="FF008000"/>
      <x:name val="Arial"/>
    </x:font>
    <x:font>
      <x:sz val="11"/>
      <x:color rgb="FF0000FF"/>
      <x:name val="Carlito"/>
    </x:font>
    <x:font>
      <x:b/>
      <x:sz val="11"/>
      <x:color rgb="FF7F6000"/>
      <x:name val="Carlito"/>
    </x:font>
    <x:font>
      <x:b/>
      <x:sz val="11"/>
      <x:color rgb="FF1B5E20"/>
      <x:name val="Carlito"/>
    </x:font>
    <x:font>
      <x:sz val="11"/>
      <x:color rgb="FF0000FF"/>
      <x:name val="Arial"/>
    </x:font>
    <x:font>
      <x:b/>
      <x:sz val="11"/>
      <x:color rgb="FF7F6000"/>
      <x:name val="Arial"/>
    </x:font>
    <x:font>
      <x:b/>
      <x:sz val="11"/>
      <x:color rgb="FF1B5E2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1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right style="thin">
        <x:color rgb="FFD9E0E7"/>
      </x:right>
      <x:top style="thin">
        <x:color rgb="FFB8C2CC"/>
      </x:top>
      <x:bottom style="thin">
        <x:color rgb="FFD9E0E7"/>
      </x:bottom>
    </x:border>
    <x:border>
      <x:left style="thin">
        <x:color rgb="FFD9E0E7"/>
      </x:left>
      <x:right style="thin">
        <x:color rgb="FFD9E0E7"/>
      </x:right>
      <x:top style="thin">
        <x:color rgb="FFB8C2CC"/>
      </x:top>
      <x:bottom style="thin">
        <x:color rgb="FFD9E0E7"/>
      </x:bottom>
    </x:border>
    <x:border>
      <x:left style="thin">
        <x:color rgb="FFD9E0E7"/>
      </x:left>
      <x:right style="thin">
        <x:color rgb="FFB8C2CC"/>
      </x:right>
      <x:top style="thin">
        <x:color rgb="FFB8C2CC"/>
      </x:top>
      <x:bottom style="thin">
        <x:color rgb="FFD9E0E7"/>
      </x:bottom>
    </x:border>
    <x:border>
      <x:left style="thin">
        <x:color rgb="FFB8C2CC"/>
      </x:left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D9E0E7"/>
      </x:left>
      <x:right style="thin">
        <x:color rgb="FFB8C2CC"/>
      </x:right>
      <x:top style="thin">
        <x:color rgb="FFD9E0E7"/>
      </x:top>
      <x:bottom style="thin">
        <x:color rgb="FFD9E0E7"/>
      </x:bottom>
    </x:border>
    <x:border>
      <x:left style="thin">
        <x:color rgb="FFB8C2CC"/>
      </x:left>
      <x:right style="thin">
        <x:color rgb="FFD9E0E7"/>
      </x:right>
      <x:top style="thin">
        <x:color rgb="FFD9E0E7"/>
      </x:top>
      <x:bottom style="thin">
        <x:color rgb="FFB8C2CC"/>
      </x:bottom>
    </x:border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B8C2CC"/>
      </x:bottom>
    </x:border>
    <x:border>
      <x:left style="thin">
        <x:color rgb="FFD9E0E7"/>
      </x:left>
      <x:right style="thin">
        <x:color rgb="FFB8C2CC"/>
      </x:right>
      <x:top style="thin">
        <x:color rgb="FFD9E0E7"/>
      </x:top>
      <x:bottom style="thin">
        <x:color rgb="FFB8C2CC"/>
      </x:bottom>
    </x:border>
    <x:border>
      <x:top style="thin">
        <x:color rgb="FF0B1F3A"/>
      </x:top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3" borderId="1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/>
    <x:xf numFmtId="201" fontId="15" fillId="0" borderId="0" xfId="0" applyNumberFormat="1" applyFont="1" applyFill="1" applyBorder="1"/>
    <x:xf numFmtId="202" fontId="15" fillId="0" borderId="0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18" fillId="4" borderId="0" xfId="0" applyNumberFormat="1" applyFont="1" applyFill="1" applyBorder="1"/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3" fontId="0" fillId="0" borderId="9" xfId="0" applyNumberFormat="1" applyFont="1" applyFill="1" applyBorder="1"/>
    <x:xf numFmtId="204" fontId="0" fillId="0" borderId="9" xfId="0" applyNumberFormat="1" applyFont="1" applyFill="1" applyBorder="1"/>
    <x:xf numFmtId="0" fontId="22" fillId="0" borderId="0" xfId="0" applyNumberFormat="1" applyFont="1" applyFill="1" applyBorder="1"/>
    <x:xf numFmtId="205" fontId="22" fillId="0" borderId="0" xfId="0" applyNumberFormat="1" applyFont="1" applyFill="1" applyBorder="1"/>
    <x:xf numFmtId="203" fontId="4" fillId="0" borderId="0" xfId="0" applyNumberFormat="1" applyFont="1" applyFill="1" applyBorder="1"/>
    <x:xf numFmtId="206" fontId="22" fillId="0" borderId="0" xfId="0" applyNumberFormat="1" applyFont="1" applyFill="1" applyBorder="1"/>
    <x:xf numFmtId="200" fontId="22" fillId="0" borderId="0" xfId="0" applyNumberFormat="1" applyFont="1" applyFill="1" applyBorder="1"/>
    <x:xf numFmtId="201" fontId="22" fillId="0" borderId="0" xfId="0" applyNumberFormat="1" applyFont="1" applyFill="1" applyBorder="1"/>
    <x:xf numFmtId="207" fontId="22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11" xfId="0" applyNumberFormat="1" applyFont="1" applyFill="1" applyBorder="1"/>
    <x:xf numFmtId="205" fontId="0" fillId="0" borderId="11" xfId="0" applyNumberFormat="1" applyFont="1" applyFill="1" applyBorder="1"/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207" fontId="0" fillId="0" borderId="0" xfId="0" applyNumberFormat="1" applyFont="1" applyFill="1" applyBorder="1"/>
    <x:xf numFmtId="205" fontId="4" fillId="0" borderId="0" xfId="0" applyNumberFormat="1" applyFont="1" applyFill="1" applyBorder="1"/>
    <x:xf numFmtId="0" fontId="23" fillId="4" borderId="0" xfId="0" applyNumberFormat="1" applyFont="1" applyFill="1" applyBorder="1"/>
    <x:xf numFmtId="0" fontId="2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4" fillId="5" borderId="0" xfId="0" applyNumberFormat="1" applyFont="1" applyFill="1" applyBorder="1"/>
    <x:xf numFmtId="0" fontId="14" fillId="3" borderId="2" xfId="0" applyNumberFormat="1" applyFont="1" applyFill="1" applyBorder="1" applyAlignment="1">
      <x:alignment vertical="center" wrapText="1"/>
    </x:xf>
    <x:xf numFmtId="0" fontId="14" fillId="3" borderId="3" xfId="0" applyNumberFormat="1" applyFont="1" applyFill="1" applyBorder="1" applyAlignment="1">
      <x:alignment vertical="center" wrapText="1"/>
    </x:xf>
    <x:xf numFmtId="0" fontId="14" fillId="3" borderId="4" xfId="0" applyNumberFormat="1" applyFont="1" applyFill="1" applyBorder="1" applyAlignment="1">
      <x:alignment vertical="center" wrapText="1"/>
    </x:xf>
    <x:xf numFmtId="0" fontId="17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7" fillId="0" borderId="8" xfId="0" applyNumberFormat="1" applyFont="1" applyFill="1" applyBorder="1" applyAlignment="1">
      <x:alignment wrapText="1"/>
    </x:xf>
    <x:xf numFmtId="0" fontId="13" fillId="0" borderId="9" xfId="0" applyNumberFormat="1" applyFont="1" applyFill="1" applyBorder="1" applyAlignment="1">
      <x:alignment wrapText="1"/>
    </x:xf>
    <x:xf numFmtId="0" fontId="13" fillId="0" borderId="10" xfId="0" applyNumberFormat="1" applyFont="1" applyFill="1" applyBorder="1" applyAlignment="1">
      <x:alignment wrapText="1"/>
    </x:xf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200" fontId="13" fillId="0" borderId="6" xfId="0" applyNumberFormat="1" applyFont="1" applyFill="1" applyBorder="1"/>
    <x:xf numFmtId="201" fontId="13" fillId="0" borderId="6" xfId="0" applyNumberFormat="1" applyFont="1" applyFill="1" applyBorder="1"/>
    <x:xf numFmtId="203" fontId="13" fillId="0" borderId="6" xfId="0" applyNumberFormat="1" applyFont="1" applyFill="1" applyBorder="1"/>
    <x:xf numFmtId="204" fontId="13" fillId="0" borderId="6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3" fillId="0" borderId="9" xfId="0" applyNumberFormat="1" applyFont="1" applyFill="1" applyBorder="1"/>
    <x:xf numFmtId="200" fontId="13" fillId="0" borderId="9" xfId="0" applyNumberFormat="1" applyFont="1" applyFill="1" applyBorder="1"/>
    <x:xf numFmtId="201" fontId="13" fillId="0" borderId="9" xfId="0" applyNumberFormat="1" applyFont="1" applyFill="1" applyBorder="1"/>
    <x:xf numFmtId="203" fontId="13" fillId="0" borderId="9" xfId="0" applyNumberFormat="1" applyFont="1" applyFill="1" applyBorder="1"/>
    <x:xf numFmtId="204" fontId="13" fillId="0" borderId="9" xfId="0" applyNumberFormat="1" applyFont="1" applyFill="1" applyBorder="1"/>
    <x:xf numFmtId="0" fontId="13" fillId="0" borderId="10" xfId="0" applyNumberFormat="1" applyFont="1" applyFill="1" applyBorder="1"/>
    <x:xf numFmtId="205" fontId="25" fillId="0" borderId="0" xfId="0" applyNumberFormat="1" applyFont="1" applyFill="1" applyBorder="1"/>
    <x:xf numFmtId="203" fontId="15" fillId="0" borderId="0" xfId="0" applyNumberFormat="1" applyFont="1" applyFill="1" applyBorder="1"/>
    <x:xf numFmtId="206" fontId="25" fillId="0" borderId="0" xfId="0" applyNumberFormat="1" applyFont="1" applyFill="1" applyBorder="1"/>
    <x:xf numFmtId="200" fontId="25" fillId="0" borderId="0" xfId="0" applyNumberFormat="1" applyFont="1" applyFill="1" applyBorder="1"/>
    <x:xf numFmtId="201" fontId="25" fillId="0" borderId="0" xfId="0" applyNumberFormat="1" applyFont="1" applyFill="1" applyBorder="1"/>
    <x:xf numFmtId="207" fontId="25" fillId="0" borderId="0" xfId="0" applyNumberFormat="1" applyFont="1" applyFill="1" applyBorder="1"/>
    <x:xf numFmtId="0" fontId="25" fillId="0" borderId="0" xfId="0" applyNumberFormat="1" applyFont="1" applyFill="1" applyBorder="1"/>
    <x:xf numFmtId="205" fontId="13" fillId="0" borderId="0" xfId="0" applyNumberFormat="1" applyFont="1" applyFill="1" applyBorder="1"/>
    <x:xf numFmtId="200" fontId="13" fillId="0" borderId="0" xfId="0" applyNumberFormat="1" applyFont="1" applyFill="1" applyBorder="1"/>
    <x:xf numFmtId="0" fontId="13" fillId="0" borderId="11" xfId="0" applyNumberFormat="1" applyFont="1" applyFill="1" applyBorder="1"/>
    <x:xf numFmtId="205" fontId="13" fillId="0" borderId="11" xfId="0" applyNumberFormat="1" applyFont="1" applyFill="1" applyBorder="1"/>
    <x:xf numFmtId="201" fontId="13" fillId="0" borderId="0" xfId="0" applyNumberFormat="1" applyFont="1" applyFill="1" applyBorder="1"/>
    <x:xf numFmtId="200" fontId="21" fillId="0" borderId="0" xfId="0" applyNumberFormat="1" applyFont="1" applyFill="1" applyBorder="1"/>
    <x:xf numFmtId="202" fontId="21" fillId="0" borderId="0" xfId="0" applyNumberFormat="1" applyFont="1" applyFill="1" applyBorder="1"/>
    <x:xf numFmtId="207" fontId="13" fillId="0" borderId="0" xfId="0" applyNumberFormat="1" applyFont="1" applyFill="1" applyBorder="1"/>
    <x:xf numFmtId="0" fontId="15" fillId="0" borderId="0" xfId="0" applyNumberFormat="1" applyFont="1" applyFill="1" applyBorder="1"/>
    <x:xf numFmtId="205" fontId="15" fillId="0" borderId="0" xfId="0" applyNumberFormat="1" applyFont="1" applyFill="1" applyBorder="1"/>
    <x:xf numFmtId="0" fontId="26" fillId="4" borderId="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2a020f6fd428f" /><Relationship Type="http://schemas.openxmlformats.org/officeDocument/2006/relationships/theme" Target="/xl/theme/theme1.xml" Id="Rb7782a565f0c44ec" /><Relationship Type="http://schemas.openxmlformats.org/officeDocument/2006/relationships/sharedStrings" Target="/xl/sharedStrings.xml" Id="Rb94f139b7f844f4f" /><Relationship Type="http://schemas.openxmlformats.org/officeDocument/2006/relationships/worksheet" Target="/xl/worksheets/sheet1.xml" Id="Rcce91ed0ed7d4396" /><Relationship Type="http://schemas.openxmlformats.org/officeDocument/2006/relationships/worksheet" Target="/xl/worksheets/sheet2.xml" Id="R05fbd442716140e5" /><Relationship Type="http://schemas.openxmlformats.org/officeDocument/2006/relationships/worksheet" Target="/xl/worksheets/sheet3.xml" Id="Rc2a1120e21584ec3" /><Relationship Type="http://schemas.openxmlformats.org/officeDocument/2006/relationships/worksheet" Target="/xl/worksheets/sheet4.xml" Id="R3bad10d0e31647da" /><Relationship Type="http://schemas.openxmlformats.org/officeDocument/2006/relationships/worksheet" Target="/xl/worksheets/sheet5.xml" Id="Rc16037d243094fb6" /><Relationship Type="http://schemas.openxmlformats.org/officeDocument/2006/relationships/worksheet" Target="/xl/worksheets/sheet6.xml" Id="Reb70e99115fc425e" /><Relationship Type="http://schemas.openxmlformats.org/officeDocument/2006/relationships/worksheet" Target="/xl/worksheets/sheet7.xml" Id="Rd3998bf49caf4921" /><Relationship Type="http://schemas.microsoft.com/office/2017/10/relationships/person" Target="/xl/persons/person.xml" Id="R62b7a37fe2474502" /></Relationships>
</file>

<file path=xl/persons/person.xml><?xml version="1.0" encoding="utf-8"?>
<xltc:personList xmlns:xltc="http://schemas.microsoft.com/office/spreadsheetml/2018/threadedcomments">
  <xltc:person displayName="User" id="{525A7438-1E0E-420F-A22C-3CEDEA0C77C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7-10T16:45:25.819" personId="{525A7438-1E0E-420F-A22C-3CEDEA0C77C5}" id="{36EC2A31-4ED1-0889-633B-1532370B26D1}">
    <xltc:text>Source S04: Ukrstat 2025 operating profitability for NACE 72.</xltc:text>
  </xltc:threadedComment>
  <xltc:threadedComment ref="E6" dT="2026-07-10T16:45:25.821" personId="{525A7438-1E0E-420F-A22C-3CEDEA0C77C5}" id="{A8A6166D-B2A0-BFD3-9FF0-CCF446D69BCB}">
    <xltc:text>Source S04: Ukrstat share of profitable enterprises in 2025 for NACE 72.</xltc:text>
  </xltc:threadedComment>
  <xltc:threadedComment ref="F6" dT="2026-07-10T16:45:25.821" personId="{525A7438-1E0E-420F-A22C-3CEDEA0C77C5}" id="{5BBA14F4-AEB0-814C-063C-A831AA828F3E}">
    <xltc:text>Sources S02 and S12: Ukrstat turnover deflated by cumulative NBU 2023-2024 GDP deflator. Approximation; wartime coverage caveat applies.</xltc:text>
  </xltc:threadedComment>
  <xltc:threadedComment ref="G6" dT="2026-07-10T16:45:25.821" personId="{525A7438-1E0E-420F-A22C-3CEDEA0C77C5}" id="{D43E6D35-AEE0-B07D-47CF-3F55755F6F3C}">
    <xltc:text>Sources S02 and S03: 2024 gross operating surplus divided by latest available enterprise gross investment (generally 2023).</xltc:text>
  </xltc:threadedComment>
  <xltc:threadedComment ref="H6" dT="2026-07-10T16:45:25.821" personId="{525A7438-1E0E-420F-A22C-3CEDEA0C77C5}" id="{977F8615-9BFD-9351-895F-8A78EBDABDE8}">
    <xltc:text>Analyst score supported by official exports (S06/S07), NBU energy context (S12) and UkraineInvest priority sectors (S17/S18).</xltc:text>
  </xltc:threadedComment>
  <xltc:threadedComment ref="I6" dT="2026-07-10T16:45:25.821" personId="{525A7438-1E0E-420F-A22C-3CEDEA0C77C5}" id="{315336E7-0BE9-946B-F64C-D383AEBEE563}">
    <xltc:text>Analyst structural-demand score supported by UkraineInvest official priorities (S17/S18).</xltc:text>
  </xltc:threadedComment>
  <xltc:threadedComment ref="J6" dT="2026-07-10T16:45:25.821" personId="{525A7438-1E0E-420F-A22C-3CEDEA0C77C5}" id="{74485DD1-8B97-8CC1-8D5A-5E3281EC5B9E}">
    <xltc:text>Analyst resilience/data-confidence score; considers S02-S04 territorial caveats and S19 geographic policy.</xltc:text>
  </xltc:threadedComment>
  <xltc:threadedComment ref="O6" dT="2026-07-10T16:45:25.821" personId="{525A7438-1E0E-420F-A22C-3CEDEA0C77C5}" id="{98297993-3786-96D3-0063-6B74F507B347}">
    <xltc:text>Official 2024 category export anchor from S06 or S07; context only, not attributed one-for-one to this NACE sector.</xltc:text>
  </xltc:threadedComment>
  <xltc:threadedComment ref="D7" dT="2026-07-10T16:45:25.822" personId="{525A7438-1E0E-420F-A22C-3CEDEA0C77C5}" id="{F8EE3629-AB27-8866-A76B-964646E3991E}">
    <xltc:text>Source S04: Ukrstat 2025 operating profitability for NACE 28.</xltc:text>
  </xltc:threadedComment>
  <xltc:threadedComment ref="E7" dT="2026-07-10T16:45:25.822" personId="{525A7438-1E0E-420F-A22C-3CEDEA0C77C5}" id="{73160686-81F2-D52D-52F2-54786AFE40A8}">
    <xltc:text>Source S04: Ukrstat share of profitable enterprises in 2025 for NACE 28.</xltc:text>
  </xltc:threadedComment>
  <xltc:threadedComment ref="F7" dT="2026-07-10T16:45:25.822" personId="{525A7438-1E0E-420F-A22C-3CEDEA0C77C5}" id="{16AEA6D3-3BF8-FE72-1992-A6F45F2CC271}">
    <xltc:text>Sources S02 and S12: Ukrstat turnover deflated by cumulative NBU 2023-2024 GDP deflator. Approximation; wartime coverage caveat applies.</xltc:text>
  </xltc:threadedComment>
  <xltc:threadedComment ref="G7" dT="2026-07-10T16:45:25.822" personId="{525A7438-1E0E-420F-A22C-3CEDEA0C77C5}" id="{6145EDA4-367E-07EA-470F-29BE89125C0D}">
    <xltc:text>Sources S02 and S03: 2024 gross operating surplus divided by latest available enterprise gross investment (generally 2023).</xltc:text>
  </xltc:threadedComment>
  <xltc:threadedComment ref="H7" dT="2026-07-10T16:45:25.822" personId="{525A7438-1E0E-420F-A22C-3CEDEA0C77C5}" id="{27598C98-5D89-B697-E988-B6DF56CA4192}">
    <xltc:text>Analyst score supported by official exports (S06/S07), NBU energy context (S12) and UkraineInvest priority sectors (S17/S18).</xltc:text>
  </xltc:threadedComment>
  <xltc:threadedComment ref="I7" dT="2026-07-10T16:45:25.822" personId="{525A7438-1E0E-420F-A22C-3CEDEA0C77C5}" id="{D7518851-1253-EC69-0F32-833DBDEA22E3}">
    <xltc:text>Analyst structural-demand score supported by UkraineInvest official priorities (S17/S18).</xltc:text>
  </xltc:threadedComment>
  <xltc:threadedComment ref="J7" dT="2026-07-10T16:45:25.822" personId="{525A7438-1E0E-420F-A22C-3CEDEA0C77C5}" id="{157A5F38-DA55-D1FE-09D8-1CB2FBC1FE14}">
    <xltc:text>Analyst resilience/data-confidence score; considers S02-S04 territorial caveats and S19 geographic policy.</xltc:text>
  </xltc:threadedComment>
  <xltc:threadedComment ref="O7" dT="2026-07-10T16:45:25.822" personId="{525A7438-1E0E-420F-A22C-3CEDEA0C77C5}" id="{9BAF53A4-907A-5B31-942F-1B6911C5A52B}">
    <xltc:text>Official 2024 category export anchor from S06 or S07; context only, not attributed one-for-one to this NACE sector.</xltc:text>
  </xltc:threadedComment>
  <xltc:threadedComment ref="D8" dT="2026-07-10T16:45:25.822" personId="{525A7438-1E0E-420F-A22C-3CEDEA0C77C5}" id="{83F180B3-94DA-0196-096E-30790ED740CB}">
    <xltc:text>Source S04: Ukrstat 2025 operating profitability for NACE 27.</xltc:text>
  </xltc:threadedComment>
  <xltc:threadedComment ref="E8" dT="2026-07-10T16:45:25.822" personId="{525A7438-1E0E-420F-A22C-3CEDEA0C77C5}" id="{329D776D-906E-0F52-1818-DF170FD2E6FA}">
    <xltc:text>Source S04: Ukrstat share of profitable enterprises in 2025 for NACE 27.</xltc:text>
  </xltc:threadedComment>
  <xltc:threadedComment ref="F8" dT="2026-07-10T16:45:25.822" personId="{525A7438-1E0E-420F-A22C-3CEDEA0C77C5}" id="{428F2853-8F22-EBB0-8FD9-AA390EE6CE7C}">
    <xltc:text>Sources S02 and S12: Ukrstat turnover deflated by cumulative NBU 2023-2024 GDP deflator. Approximation; wartime coverage caveat applies.</xltc:text>
  </xltc:threadedComment>
  <xltc:threadedComment ref="G8" dT="2026-07-10T16:45:25.822" personId="{525A7438-1E0E-420F-A22C-3CEDEA0C77C5}" id="{FAF406B8-F16E-6E63-38F8-658C0D4ED3A0}">
    <xltc:text>Sources S02 and S03: 2024 gross operating surplus divided by latest available enterprise gross investment (generally 2023).</xltc:text>
  </xltc:threadedComment>
  <xltc:threadedComment ref="H8" dT="2026-07-10T16:45:25.822" personId="{525A7438-1E0E-420F-A22C-3CEDEA0C77C5}" id="{EC9A5DC3-C312-25D1-F672-D7496CA10160}">
    <xltc:text>Analyst score supported by official exports (S06/S07), NBU energy context (S12) and UkraineInvest priority sectors (S17/S18).</xltc:text>
  </xltc:threadedComment>
  <xltc:threadedComment ref="I8" dT="2026-07-10T16:45:25.822" personId="{525A7438-1E0E-420F-A22C-3CEDEA0C77C5}" id="{03B8295F-926F-E7BB-BD62-8356B7B89D43}">
    <xltc:text>Analyst structural-demand score supported by UkraineInvest official priorities (S17/S18).</xltc:text>
  </xltc:threadedComment>
  <xltc:threadedComment ref="J8" dT="2026-07-10T16:45:25.822" personId="{525A7438-1E0E-420F-A22C-3CEDEA0C77C5}" id="{D5BCA02E-A9F9-7144-42D4-C62AACA7E9BD}">
    <xltc:text>Analyst resilience/data-confidence score; considers S02-S04 territorial caveats and S19 geographic policy.</xltc:text>
  </xltc:threadedComment>
  <xltc:threadedComment ref="O8" dT="2026-07-10T16:45:25.822" personId="{525A7438-1E0E-420F-A22C-3CEDEA0C77C5}" id="{E18735ED-7D5B-3408-8E59-C186C5519C1A}">
    <xltc:text>Official 2024 category export anchor from S06 or S07; context only, not attributed one-for-one to this NACE sector.</xltc:text>
  </xltc:threadedComment>
  <xltc:threadedComment ref="D9" dT="2026-07-10T16:45:25.822" personId="{525A7438-1E0E-420F-A22C-3CEDEA0C77C5}" id="{04745B49-16B4-931B-A302-76C822FB13F7}">
    <xltc:text>Source S04: Ukrstat 2025 operating profitability for NACE 23.</xltc:text>
  </xltc:threadedComment>
  <xltc:threadedComment ref="E9" dT="2026-07-10T16:45:25.822" personId="{525A7438-1E0E-420F-A22C-3CEDEA0C77C5}" id="{32BC7C86-A7EA-CF0D-CBEA-3B0B801870CA}">
    <xltc:text>Source S04: Ukrstat share of profitable enterprises in 2025 for NACE 23.</xltc:text>
  </xltc:threadedComment>
  <xltc:threadedComment ref="F9" dT="2026-07-10T16:45:25.822" personId="{525A7438-1E0E-420F-A22C-3CEDEA0C77C5}" id="{DEFFF177-8B63-A053-D2DE-A86BF627F2C4}">
    <xltc:text>Sources S02 and S12: Ukrstat turnover deflated by cumulative NBU 2023-2024 GDP deflator. Approximation; wartime coverage caveat applies.</xltc:text>
  </xltc:threadedComment>
  <xltc:threadedComment ref="G9" dT="2026-07-10T16:45:25.822" personId="{525A7438-1E0E-420F-A22C-3CEDEA0C77C5}" id="{62677498-DACD-4E26-9901-82DD9014EF11}">
    <xltc:text>Sources S02 and S03: 2024 gross operating surplus divided by latest available enterprise gross investment (generally 2023).</xltc:text>
  </xltc:threadedComment>
  <xltc:threadedComment ref="H9" dT="2026-07-10T16:45:25.822" personId="{525A7438-1E0E-420F-A22C-3CEDEA0C77C5}" id="{5D7D29AD-8F21-97E0-EDF4-2835FC9E7D15}">
    <xltc:text>Analyst score supported by official exports (S06/S07), NBU energy context (S12) and UkraineInvest priority sectors (S17/S18).</xltc:text>
  </xltc:threadedComment>
  <xltc:threadedComment ref="I9" dT="2026-07-10T16:45:25.822" personId="{525A7438-1E0E-420F-A22C-3CEDEA0C77C5}" id="{33EF2F0A-6BE4-C1CE-2598-A789649CA787}">
    <xltc:text>Analyst structural-demand score supported by UkraineInvest official priorities (S17/S18).</xltc:text>
  </xltc:threadedComment>
  <xltc:threadedComment ref="J9" dT="2026-07-10T16:45:25.822" personId="{525A7438-1E0E-420F-A22C-3CEDEA0C77C5}" id="{DE4D4DAA-0739-7C04-CD4B-6864D2F2DFCD}">
    <xltc:text>Analyst resilience/data-confidence score; considers S02-S04 territorial caveats and S19 geographic policy.</xltc:text>
  </xltc:threadedComment>
  <xltc:threadedComment ref="O9" dT="2026-07-10T16:45:25.822" personId="{525A7438-1E0E-420F-A22C-3CEDEA0C77C5}" id="{D1029CBD-9E34-1B40-39F7-BF1AEADFF07C}">
    <xltc:text>Official 2024 category export anchor from S06 or S07; context only, not attributed one-for-one to this NACE sector.</xltc:text>
  </xltc:threadedComment>
  <xltc:threadedComment ref="D10" dT="2026-07-10T16:45:25.823" personId="{525A7438-1E0E-420F-A22C-3CEDEA0C77C5}" id="{1B3BE0DA-90CE-4025-A9DF-7B95B8BE9541}">
    <xltc:text>Source S04: Ukrstat 2025 operating profitability for NACE 63.</xltc:text>
  </xltc:threadedComment>
  <xltc:threadedComment ref="E10" dT="2026-07-10T16:45:25.823" personId="{525A7438-1E0E-420F-A22C-3CEDEA0C77C5}" id="{57EF89B6-112C-5672-41FA-692DB4D172E9}">
    <xltc:text>Source S04: Ukrstat share of profitable enterprises in 2025 for NACE 63.</xltc:text>
  </xltc:threadedComment>
  <xltc:threadedComment ref="F10" dT="2026-07-10T16:45:25.823" personId="{525A7438-1E0E-420F-A22C-3CEDEA0C77C5}" id="{A0926E9E-54A1-256E-3811-C211158B08B8}">
    <xltc:text>Sources S02 and S12: Ukrstat turnover deflated by cumulative NBU 2023-2024 GDP deflator. Approximation; wartime coverage caveat applies.</xltc:text>
  </xltc:threadedComment>
  <xltc:threadedComment ref="G10" dT="2026-07-10T16:45:25.823" personId="{525A7438-1E0E-420F-A22C-3CEDEA0C77C5}" id="{ABB78784-2D25-C98C-1226-25C645E78E2A}">
    <xltc:text>Sources S02 and S03: 2024 gross operating surplus divided by latest available enterprise gross investment (generally 2023).</xltc:text>
  </xltc:threadedComment>
  <xltc:threadedComment ref="H10" dT="2026-07-10T16:45:25.823" personId="{525A7438-1E0E-420F-A22C-3CEDEA0C77C5}" id="{6C1B7046-BE05-BA51-701F-008110B482E6}">
    <xltc:text>Analyst score supported by official exports (S06/S07), NBU energy context (S12) and UkraineInvest priority sectors (S17/S18).</xltc:text>
  </xltc:threadedComment>
  <xltc:threadedComment ref="I10" dT="2026-07-10T16:45:25.823" personId="{525A7438-1E0E-420F-A22C-3CEDEA0C77C5}" id="{1CF3F4FF-0DE7-F2AE-9013-CFE48029278B}">
    <xltc:text>Analyst structural-demand score supported by UkraineInvest official priorities (S17/S18).</xltc:text>
  </xltc:threadedComment>
  <xltc:threadedComment ref="J10" dT="2026-07-10T16:45:25.823" personId="{525A7438-1E0E-420F-A22C-3CEDEA0C77C5}" id="{699EF60E-98E0-FCDB-751D-56415D017BBA}">
    <xltc:text>Analyst resilience/data-confidence score; considers S02-S04 territorial caveats and S19 geographic policy.</xltc:text>
  </xltc:threadedComment>
  <xltc:threadedComment ref="O10" dT="2026-07-10T16:45:25.823" personId="{525A7438-1E0E-420F-A22C-3CEDEA0C77C5}" id="{89A93AB5-B198-B828-C48B-F4E92EC7E1E8}">
    <xltc:text>Official 2024 category export anchor from S06 or S07; context only, not attributed one-for-one to this NACE sector.</xltc:text>
  </xltc:threadedComment>
  <xltc:threadedComment ref="D11" dT="2026-07-10T16:45:25.823" personId="{525A7438-1E0E-420F-A22C-3CEDEA0C77C5}" id="{F2D00B5A-AC64-29F9-931C-715C7AC7C6C9}">
    <xltc:text>Source S04: Ukrstat 2025 operating profitability for NACE 42.</xltc:text>
  </xltc:threadedComment>
  <xltc:threadedComment ref="E11" dT="2026-07-10T16:45:25.823" personId="{525A7438-1E0E-420F-A22C-3CEDEA0C77C5}" id="{F30CE4A9-BD53-9D4C-68CC-65000B2DDBA1}">
    <xltc:text>Source S04: Ukrstat share of profitable enterprises in 2025 for NACE 42.</xltc:text>
  </xltc:threadedComment>
  <xltc:threadedComment ref="F11" dT="2026-07-10T16:45:25.823" personId="{525A7438-1E0E-420F-A22C-3CEDEA0C77C5}" id="{C0505328-8B40-3E30-2B2A-B8D25D713A9F}">
    <xltc:text>Sources S02 and S12: Ukrstat turnover deflated by cumulative NBU 2023-2024 GDP deflator. Approximation; wartime coverage caveat applies.</xltc:text>
  </xltc:threadedComment>
  <xltc:threadedComment ref="G11" dT="2026-07-10T16:45:25.823" personId="{525A7438-1E0E-420F-A22C-3CEDEA0C77C5}" id="{570F61B8-EC02-05CF-C038-32344D9A381E}">
    <xltc:text>Sources S02 and S03: 2024 gross operating surplus divided by latest available enterprise gross investment (generally 2023).</xltc:text>
  </xltc:threadedComment>
  <xltc:threadedComment ref="H11" dT="2026-07-10T16:45:25.823" personId="{525A7438-1E0E-420F-A22C-3CEDEA0C77C5}" id="{058B00F6-B777-5861-5C2A-3DDA93B2571B}">
    <xltc:text>Analyst score supported by official exports (S06/S07), NBU energy context (S12) and UkraineInvest priority sectors (S17/S18).</xltc:text>
  </xltc:threadedComment>
  <xltc:threadedComment ref="I11" dT="2026-07-10T16:45:25.823" personId="{525A7438-1E0E-420F-A22C-3CEDEA0C77C5}" id="{A76C0F87-CE22-A9AE-B6ED-777759B4CFCA}">
    <xltc:text>Analyst structural-demand score supported by UkraineInvest official priorities (S17/S18).</xltc:text>
  </xltc:threadedComment>
  <xltc:threadedComment ref="J11" dT="2026-07-10T16:45:25.823" personId="{525A7438-1E0E-420F-A22C-3CEDEA0C77C5}" id="{ADAE2A56-3DCB-FA04-F2D2-79EB8872F833}">
    <xltc:text>Analyst resilience/data-confidence score; considers S02-S04 territorial caveats and S19 geographic policy.</xltc:text>
  </xltc:threadedComment>
  <xltc:threadedComment ref="O11" dT="2026-07-10T16:45:25.823" personId="{525A7438-1E0E-420F-A22C-3CEDEA0C77C5}" id="{DAD5CCF2-3235-AE37-A690-E83F7D56FEB5}">
    <xltc:text>Official 2024 category export anchor from S06 or S07; context only, not attributed one-for-one to this NACE sector.</xltc:text>
  </xltc:threadedComment>
  <xltc:threadedComment ref="D12" dT="2026-07-10T16:45:25.823" personId="{525A7438-1E0E-420F-A22C-3CEDEA0C77C5}" id="{90C9A03C-F6F9-592C-4CBD-7412936AA306}">
    <xltc:text>Source S04: Ukrstat 2025 operating profitability for NACE 10.</xltc:text>
  </xltc:threadedComment>
  <xltc:threadedComment ref="E12" dT="2026-07-10T16:45:25.823" personId="{525A7438-1E0E-420F-A22C-3CEDEA0C77C5}" id="{DC023F24-94BE-93D1-4BC0-3F543A110FE1}">
    <xltc:text>Source S04: Ukrstat share of profitable enterprises in 2025 for NACE 10.</xltc:text>
  </xltc:threadedComment>
  <xltc:threadedComment ref="F12" dT="2026-07-10T16:45:25.823" personId="{525A7438-1E0E-420F-A22C-3CEDEA0C77C5}" id="{D64D6972-D4C6-E4F4-4F8B-C255E8062F92}">
    <xltc:text>Sources S02 and S12: Ukrstat turnover deflated by cumulative NBU 2023-2024 GDP deflator. Approximation; wartime coverage caveat applies.</xltc:text>
  </xltc:threadedComment>
  <xltc:threadedComment ref="G12" dT="2026-07-10T16:45:25.823" personId="{525A7438-1E0E-420F-A22C-3CEDEA0C77C5}" id="{9C9A1E11-279E-1CD5-1C77-090F5F65E7AB}">
    <xltc:text>Sources S02 and S03: 2024 gross operating surplus divided by latest available enterprise gross investment (generally 2023).</xltc:text>
  </xltc:threadedComment>
  <xltc:threadedComment ref="H12" dT="2026-07-10T16:45:25.823" personId="{525A7438-1E0E-420F-A22C-3CEDEA0C77C5}" id="{E3665639-2135-D411-A197-CF3DBCF17110}">
    <xltc:text>Analyst score supported by official exports (S06/S07), NBU energy context (S12) and UkraineInvest priority sectors (S17/S18).</xltc:text>
  </xltc:threadedComment>
  <xltc:threadedComment ref="I12" dT="2026-07-10T16:45:25.823" personId="{525A7438-1E0E-420F-A22C-3CEDEA0C77C5}" id="{625BB449-0142-CCF1-DEFB-63AFD49A6E7B}">
    <xltc:text>Analyst structural-demand score supported by UkraineInvest official priorities (S17/S18).</xltc:text>
  </xltc:threadedComment>
  <xltc:threadedComment ref="J12" dT="2026-07-10T16:45:25.823" personId="{525A7438-1E0E-420F-A22C-3CEDEA0C77C5}" id="{F638ECBA-BF90-B5D1-418E-FA6FC39B8735}">
    <xltc:text>Analyst resilience/data-confidence score; considers S02-S04 territorial caveats and S19 geographic policy.</xltc:text>
  </xltc:threadedComment>
  <xltc:threadedComment ref="O12" dT="2026-07-10T16:45:25.823" personId="{525A7438-1E0E-420F-A22C-3CEDEA0C77C5}" id="{35231A1B-0FC2-A42F-5941-5486EE9E94FC}">
    <xltc:text>Official 2024 category export anchor from S06 or S07; context only, not attributed one-for-one to this NACE sector.</xltc:text>
  </xltc:threadedComment>
  <xltc:threadedComment ref="D13" dT="2026-07-10T16:45:25.824" personId="{525A7438-1E0E-420F-A22C-3CEDEA0C77C5}" id="{808FAC1C-6255-D9AB-07AF-51F192F1F817}">
    <xltc:text>Source S04: Ukrstat 2025 operating profitability for NACE 52.</xltc:text>
  </xltc:threadedComment>
  <xltc:threadedComment ref="E13" dT="2026-07-10T16:45:25.824" personId="{525A7438-1E0E-420F-A22C-3CEDEA0C77C5}" id="{F969C36C-843F-4923-9B39-0635AA9BB323}">
    <xltc:text>Source S04: Ukrstat share of profitable enterprises in 2025 for NACE 52.</xltc:text>
  </xltc:threadedComment>
  <xltc:threadedComment ref="F13" dT="2026-07-10T16:45:25.824" personId="{525A7438-1E0E-420F-A22C-3CEDEA0C77C5}" id="{5769F65F-DC40-5F32-ABD8-A481926E5F5C}">
    <xltc:text>Sources S02 and S12: Ukrstat turnover deflated by cumulative NBU 2023-2024 GDP deflator. Approximation; wartime coverage caveat applies.</xltc:text>
  </xltc:threadedComment>
  <xltc:threadedComment ref="G13" dT="2026-07-10T16:45:25.824" personId="{525A7438-1E0E-420F-A22C-3CEDEA0C77C5}" id="{24A8DD71-211E-56C1-E34A-C843AB4B9466}">
    <xltc:text>Sources S02 and S03: 2024 gross operating surplus divided by latest available enterprise gross investment (generally 2023).</xltc:text>
  </xltc:threadedComment>
  <xltc:threadedComment ref="H13" dT="2026-07-10T16:45:25.824" personId="{525A7438-1E0E-420F-A22C-3CEDEA0C77C5}" id="{141B1EED-4A33-D29B-7184-9635A2DCD78D}">
    <xltc:text>Analyst score supported by official exports (S06/S07), NBU energy context (S12) and UkraineInvest priority sectors (S17/S18).</xltc:text>
  </xltc:threadedComment>
  <xltc:threadedComment ref="I13" dT="2026-07-10T16:45:25.824" personId="{525A7438-1E0E-420F-A22C-3CEDEA0C77C5}" id="{C13DF55E-2AE3-8705-3F74-8DB75667A759}">
    <xltc:text>Analyst structural-demand score supported by UkraineInvest official priorities (S17/S18).</xltc:text>
  </xltc:threadedComment>
  <xltc:threadedComment ref="J13" dT="2026-07-10T16:45:25.824" personId="{525A7438-1E0E-420F-A22C-3CEDEA0C77C5}" id="{3B932C48-69B3-A035-E77E-55E9B53C5E26}">
    <xltc:text>Analyst resilience/data-confidence score; considers S02-S04 territorial caveats and S19 geographic policy.</xltc:text>
  </xltc:threadedComment>
  <xltc:threadedComment ref="O13" dT="2026-07-10T16:45:25.824" personId="{525A7438-1E0E-420F-A22C-3CEDEA0C77C5}" id="{74A553C3-1F95-51F9-7EFA-D921D07F2BB3}">
    <xltc:text>Official 2024 category export anchor from S06 or S07; context only, not attributed one-for-one to this NACE sector.</xltc:text>
  </xltc:threadedComment>
  <xltc:threadedComment ref="D14" dT="2026-07-10T16:45:25.824" personId="{525A7438-1E0E-420F-A22C-3CEDEA0C77C5}" id="{A461BF5A-9071-8359-B552-323168ECB542}">
    <xltc:text>Source S04: Ukrstat 2025 operating profitability for NACE 33.</xltc:text>
  </xltc:threadedComment>
  <xltc:threadedComment ref="E14" dT="2026-07-10T16:45:25.824" personId="{525A7438-1E0E-420F-A22C-3CEDEA0C77C5}" id="{9E50B2B7-6D8B-989E-1A07-BA80A38B4A02}">
    <xltc:text>Source S04: Ukrstat share of profitable enterprises in 2025 for NACE 33.</xltc:text>
  </xltc:threadedComment>
  <xltc:threadedComment ref="F14" dT="2026-07-10T16:45:25.824" personId="{525A7438-1E0E-420F-A22C-3CEDEA0C77C5}" id="{3C092A8F-4609-AF94-37B7-B5FC166FF168}">
    <xltc:text>Sources S02 and S12: Ukrstat turnover deflated by cumulative NBU 2023-2024 GDP deflator. Approximation; wartime coverage caveat applies.</xltc:text>
  </xltc:threadedComment>
  <xltc:threadedComment ref="G14" dT="2026-07-10T16:45:25.824" personId="{525A7438-1E0E-420F-A22C-3CEDEA0C77C5}" id="{9AF61D64-B12C-8188-2C3E-E2C9E5F6A66B}">
    <xltc:text>Sources S02 and S03: 2024 gross operating surplus divided by latest available enterprise gross investment (generally 2023).</xltc:text>
  </xltc:threadedComment>
  <xltc:threadedComment ref="H14" dT="2026-07-10T16:45:25.824" personId="{525A7438-1E0E-420F-A22C-3CEDEA0C77C5}" id="{9E3484AE-CC74-EBEE-A9D6-17923FB2D3E6}">
    <xltc:text>Analyst score supported by official exports (S06/S07), NBU energy context (S12) and UkraineInvest priority sectors (S17/S18).</xltc:text>
  </xltc:threadedComment>
  <xltc:threadedComment ref="I14" dT="2026-07-10T16:45:25.824" personId="{525A7438-1E0E-420F-A22C-3CEDEA0C77C5}" id="{3CFFA7D2-206B-F296-1CC5-F36C8DE834F5}">
    <xltc:text>Analyst structural-demand score supported by UkraineInvest official priorities (S17/S18).</xltc:text>
  </xltc:threadedComment>
  <xltc:threadedComment ref="J14" dT="2026-07-10T16:45:25.824" personId="{525A7438-1E0E-420F-A22C-3CEDEA0C77C5}" id="{4211D4F3-F741-00EF-A974-2568D6BF85D0}">
    <xltc:text>Analyst resilience/data-confidence score; considers S02-S04 territorial caveats and S19 geographic policy.</xltc:text>
  </xltc:threadedComment>
  <xltc:threadedComment ref="O14" dT="2026-07-10T16:45:25.824" personId="{525A7438-1E0E-420F-A22C-3CEDEA0C77C5}" id="{E7CD8DEC-39BE-7F24-220F-025CA2AEB1EC}">
    <xltc:text>Official 2024 category export anchor from S06 or S07; context only, not attributed one-for-one to this NACE sector.</xltc:text>
  </xltc:threadedComment>
  <xltc:threadedComment ref="D15" dT="2026-07-10T16:45:25.824" personId="{525A7438-1E0E-420F-A22C-3CEDEA0C77C5}" id="{67B5DCD3-5EA9-F754-A783-DD413E46B1F9}">
    <xltc:text>Source S04: Ukrstat 2025 operating profitability for NACE 38.</xltc:text>
  </xltc:threadedComment>
  <xltc:threadedComment ref="E15" dT="2026-07-10T16:45:25.824" personId="{525A7438-1E0E-420F-A22C-3CEDEA0C77C5}" id="{2EB043DA-6889-DB87-94AA-007F8B0D1191}">
    <xltc:text>Source S04: Ukrstat share of profitable enterprises in 2025 for NACE 38.</xltc:text>
  </xltc:threadedComment>
  <xltc:threadedComment ref="F15" dT="2026-07-10T16:45:25.824" personId="{525A7438-1E0E-420F-A22C-3CEDEA0C77C5}" id="{F7B9F4B2-A420-3C8F-1A94-B9E43BE2DB3E}">
    <xltc:text>Sources S02 and S12: Ukrstat turnover deflated by cumulative NBU 2023-2024 GDP deflator. Approximation; wartime coverage caveat applies.</xltc:text>
  </xltc:threadedComment>
  <xltc:threadedComment ref="G15" dT="2026-07-10T16:45:25.824" personId="{525A7438-1E0E-420F-A22C-3CEDEA0C77C5}" id="{9DFC2FF6-BA2F-C68C-AD81-8A5EDFE3E27F}">
    <xltc:text>Sources S02 and S03: 2024 gross operating surplus divided by latest available enterprise gross investment (generally 2023).</xltc:text>
  </xltc:threadedComment>
  <xltc:threadedComment ref="H15" dT="2026-07-10T16:45:25.824" personId="{525A7438-1E0E-420F-A22C-3CEDEA0C77C5}" id="{AB237176-85B7-4F88-30C7-391C8F936004}">
    <xltc:text>Analyst score supported by official exports (S06/S07), NBU energy context (S12) and UkraineInvest priority sectors (S17/S18).</xltc:text>
  </xltc:threadedComment>
  <xltc:threadedComment ref="I15" dT="2026-07-10T16:45:25.824" personId="{525A7438-1E0E-420F-A22C-3CEDEA0C77C5}" id="{D957ECFD-5F37-5989-9F4E-83ED199203DE}">
    <xltc:text>Analyst structural-demand score supported by UkraineInvest official priorities (S17/S18).</xltc:text>
  </xltc:threadedComment>
  <xltc:threadedComment ref="J15" dT="2026-07-10T16:45:25.824" personId="{525A7438-1E0E-420F-A22C-3CEDEA0C77C5}" id="{15FDD3AF-5388-2901-ABA2-449C3E03D060}">
    <xltc:text>Analyst resilience/data-confidence score; considers S02-S04 territorial caveats and S19 geographic policy.</xltc:text>
  </xltc:threadedComment>
  <xltc:threadedComment ref="O15" dT="2026-07-10T16:45:25.824" personId="{525A7438-1E0E-420F-A22C-3CEDEA0C77C5}" id="{5A5AB2F9-FB61-A77B-2A2A-4667CC15F31C}">
    <xltc:text>Official 2024 category export anchor from S06 or S07; context only, not attributed one-for-one to this NACE sector.</xltc:text>
  </xltc:threadedComment>
  <xltc:threadedComment ref="D16" dT="2026-07-10T16:45:25.825" personId="{525A7438-1E0E-420F-A22C-3CEDEA0C77C5}" id="{C77E634F-B394-FFD9-27D3-A5801E918B35}">
    <xltc:text>Source S04: Ukrstat 2025 operating profitability for NACE 35.</xltc:text>
  </xltc:threadedComment>
  <xltc:threadedComment ref="E16" dT="2026-07-10T16:45:25.825" personId="{525A7438-1E0E-420F-A22C-3CEDEA0C77C5}" id="{BA4BC2B7-6AC6-E53C-1289-E041F5926D94}">
    <xltc:text>Source S04: Ukrstat share of profitable enterprises in 2025 for NACE 35.</xltc:text>
  </xltc:threadedComment>
  <xltc:threadedComment ref="F16" dT="2026-07-10T16:45:25.825" personId="{525A7438-1E0E-420F-A22C-3CEDEA0C77C5}" id="{EAD23B65-A44D-A1FD-74F7-789829E9900E}">
    <xltc:text>Sources S02 and S12: Ukrstat turnover deflated by cumulative NBU 2023-2024 GDP deflator. Approximation; wartime coverage caveat applies.</xltc:text>
  </xltc:threadedComment>
  <xltc:threadedComment ref="G16" dT="2026-07-10T16:45:25.825" personId="{525A7438-1E0E-420F-A22C-3CEDEA0C77C5}" id="{F90BE2FD-35E0-0ED7-F652-C00DBC58044C}">
    <xltc:text>Sources S02 and S03: 2024 gross operating surplus divided by latest available enterprise gross investment (generally 2023).</xltc:text>
  </xltc:threadedComment>
  <xltc:threadedComment ref="H16" dT="2026-07-10T16:45:25.825" personId="{525A7438-1E0E-420F-A22C-3CEDEA0C77C5}" id="{4203E6CB-8A5C-C60B-A8F7-604B2618BC07}">
    <xltc:text>Analyst score supported by official exports (S06/S07), NBU energy context (S12) and UkraineInvest priority sectors (S17/S18).</xltc:text>
  </xltc:threadedComment>
  <xltc:threadedComment ref="I16" dT="2026-07-10T16:45:25.825" personId="{525A7438-1E0E-420F-A22C-3CEDEA0C77C5}" id="{CE334F3F-4377-6CEE-3ECB-5EDD58020B9C}">
    <xltc:text>Analyst structural-demand score supported by UkraineInvest official priorities (S17/S18).</xltc:text>
  </xltc:threadedComment>
  <xltc:threadedComment ref="J16" dT="2026-07-10T16:45:25.825" personId="{525A7438-1E0E-420F-A22C-3CEDEA0C77C5}" id="{8CFD8935-E143-42F1-1574-CAF9D85BFCDE}">
    <xltc:text>Analyst resilience/data-confidence score; considers S02-S04 territorial caveats and S19 geographic policy.</xltc:text>
  </xltc:threadedComment>
  <xltc:threadedComment ref="O16" dT="2026-07-10T16:45:25.825" personId="{525A7438-1E0E-420F-A22C-3CEDEA0C77C5}" id="{FB66D336-9DE9-D5A4-DDE9-D256ADBFFB5F}">
    <xltc:text>Official 2024 category export anchor from S06 or S07; context only, not attributed one-for-one to this NACE sector.</xltc:text>
  </xltc:threadedComment>
  <xltc:threadedComment ref="D17" dT="2026-07-10T16:45:25.825" personId="{525A7438-1E0E-420F-A22C-3CEDEA0C77C5}" id="{CE2CC4A1-107E-DD78-B418-94CA590949DF}">
    <xltc:text>Source S04: Ukrstat 2025 operating profitability for NACE 62.</xltc:text>
  </xltc:threadedComment>
  <xltc:threadedComment ref="E17" dT="2026-07-10T16:45:25.825" personId="{525A7438-1E0E-420F-A22C-3CEDEA0C77C5}" id="{835DCB31-89E2-6AAF-D2ED-E228BED9278C}">
    <xltc:text>Source S04: Ukrstat share of profitable enterprises in 2025 for NACE 62.</xltc:text>
  </xltc:threadedComment>
  <xltc:threadedComment ref="F17" dT="2026-07-10T16:45:25.825" personId="{525A7438-1E0E-420F-A22C-3CEDEA0C77C5}" id="{A1FA46DC-34FE-DCAB-77F4-7B8CF3BE6428}">
    <xltc:text>Sources S02 and S12: Ukrstat turnover deflated by cumulative NBU 2023-2024 GDP deflator. Approximation; wartime coverage caveat applies.</xltc:text>
  </xltc:threadedComment>
  <xltc:threadedComment ref="G17" dT="2026-07-10T16:45:25.825" personId="{525A7438-1E0E-420F-A22C-3CEDEA0C77C5}" id="{4DF5B8DB-0F0B-504D-DEC4-06E726D93436}">
    <xltc:text>Sources S02 and S03: 2024 gross operating surplus divided by latest available enterprise gross investment (generally 2023).</xltc:text>
  </xltc:threadedComment>
  <xltc:threadedComment ref="H17" dT="2026-07-10T16:45:25.825" personId="{525A7438-1E0E-420F-A22C-3CEDEA0C77C5}" id="{B498ACBE-E346-1544-0ACA-E5337ACEFFA2}">
    <xltc:text>Analyst score supported by official exports (S06/S07), NBU energy context (S12) and UkraineInvest priority sectors (S17/S18).</xltc:text>
  </xltc:threadedComment>
  <xltc:threadedComment ref="I17" dT="2026-07-10T16:45:25.825" personId="{525A7438-1E0E-420F-A22C-3CEDEA0C77C5}" id="{EEE4F9CC-2FAD-260B-CE87-A769C663CCEE}">
    <xltc:text>Analyst structural-demand score supported by UkraineInvest official priorities (S17/S18).</xltc:text>
  </xltc:threadedComment>
  <xltc:threadedComment ref="J17" dT="2026-07-10T16:45:25.825" personId="{525A7438-1E0E-420F-A22C-3CEDEA0C77C5}" id="{F228F8F9-B989-6EF0-0515-C5A1A5989E25}">
    <xltc:text>Analyst resilience/data-confidence score; considers S02-S04 territorial caveats and S19 geographic policy.</xltc:text>
  </xltc:threadedComment>
  <xltc:threadedComment ref="O17" dT="2026-07-10T16:45:25.825" personId="{525A7438-1E0E-420F-A22C-3CEDEA0C77C5}" id="{CFE5A7C9-E5D6-827C-97FA-651BB51F0560}">
    <xltc:text>Official 2024 category export anchor from S06 or S07; context only, not attributed one-for-one to this NACE sector.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6" dT="2026-07-10T16:45:25.831" personId="{525A7438-1E0E-420F-A22C-3CEDEA0C77C5}" id="{8B897604-DAEF-A81F-E358-05F36A908947}">
    <xltc:text>Editable analyst assumption for Civilian dual-use sensing &amp; autonomy platform. Official sector anchors: S02-S07 and S12; this value is not an official forecast.</xltc:text>
  </xltc:threadedComment>
  <xltc:threadedComment ref="F6" dT="2026-07-10T16:45:25.831" personId="{525A7438-1E0E-420F-A22C-3CEDEA0C77C5}" id="{9D21F300-9654-1A18-7F89-A0E9A7ADCC48}">
    <xltc:text>Editable analyst assumption for Civilian dual-use sensing &amp; autonomy platform. Official sector anchors: S02-S07 and S12; this value is not an official forecast.</xltc:text>
  </xltc:threadedComment>
  <xltc:threadedComment ref="G6" dT="2026-07-10T16:45:25.831" personId="{525A7438-1E0E-420F-A22C-3CEDEA0C77C5}" id="{938E7BAE-1F8D-F37D-B16A-F411B99B0D7C}">
    <xltc:text>Editable analyst assumption for Civilian dual-use sensing &amp; autonomy platform. Official sector anchors: S02-S07 and S12; this value is not an official forecast.</xltc:text>
  </xltc:threadedComment>
  <xltc:threadedComment ref="H6" dT="2026-07-10T16:45:25.831" personId="{525A7438-1E0E-420F-A22C-3CEDEA0C77C5}" id="{4C2F9161-407E-E7FD-3C32-3462EAADDE97}">
    <xltc:text>Editable analyst assumption for Civilian dual-use sensing &amp; autonomy platform. Official sector anchors: S02-S07 and S12; this value is not an official forecast.</xltc:text>
  </xltc:threadedComment>
  <xltc:threadedComment ref="I6" dT="2026-07-10T16:45:25.831" personId="{525A7438-1E0E-420F-A22C-3CEDEA0C77C5}" id="{756BFDEE-F9C9-57A5-0D87-7C53F2533855}">
    <xltc:text>Editable analyst assumption for Civilian dual-use sensing &amp; autonomy platform. Official sector anchors: S02-S07 and S12; this value is not an official forecast.</xltc:text>
  </xltc:threadedComment>
  <xltc:threadedComment ref="J6" dT="2026-07-10T16:45:25.831" personId="{525A7438-1E0E-420F-A22C-3CEDEA0C77C5}" id="{63CD5521-8E56-3F4A-5153-7D376D441940}">
    <xltc:text>Editable analyst assumption for Civilian dual-use sensing &amp; autonomy platform. Official sector anchors: S02-S07 and S12; this value is not an official forecast.</xltc:text>
  </xltc:threadedComment>
  <xltc:threadedComment ref="K6" dT="2026-07-10T16:45:25.831" personId="{525A7438-1E0E-420F-A22C-3CEDEA0C77C5}" id="{47C8604E-DD06-B8B2-2E0E-CD3185000B1A}">
    <xltc:text>Editable analyst assumption for Civilian dual-use sensing &amp; autonomy platform. Official sector anchors: S02-S07 and S12; this value is not an official forecast.</xltc:text>
  </xltc:threadedComment>
  <xltc:threadedComment ref="L6" dT="2026-07-10T16:45:25.831" personId="{525A7438-1E0E-420F-A22C-3CEDEA0C77C5}" id="{4FF908E0-161C-6AE0-A0BA-D172B130DC6A}">
    <xltc:text>Editable analyst assumption for Civilian dual-use sensing &amp; autonomy platform. Official sector anchors: S02-S07 and S12; this value is not an official forecast.</xltc:text>
  </xltc:threadedComment>
  <xltc:threadedComment ref="M6" dT="2026-07-10T16:45:25.831" personId="{525A7438-1E0E-420F-A22C-3CEDEA0C77C5}" id="{A41865A0-E038-7A7B-4CB6-2E2D30D0A61D}">
    <xltc:text>Editable analyst assumption for Civilian dual-use sensing &amp; autonomy platform. Official sector anchors: S02-S07 and S12; this value is not an official forecast.</xltc:text>
  </xltc:threadedComment>
  <xltc:threadedComment ref="N6" dT="2026-07-10T16:45:25.831" personId="{525A7438-1E0E-420F-A22C-3CEDEA0C77C5}" id="{09B197F3-8CDB-847B-3DA6-C96B3A89AF77}">
    <xltc:text>Editable analyst assumption for Civilian dual-use sensing &amp; autonomy platform. Official sector anchors: S02-S07 and S12; this value is not an official forecast.</xltc:text>
  </xltc:threadedComment>
  <xltc:threadedComment ref="O6" dT="2026-07-10T16:45:25.831" personId="{525A7438-1E0E-420F-A22C-3CEDEA0C77C5}" id="{A9EF501E-3998-04F5-86D4-5301AC10AC03}">
    <xltc:text>Editable analyst assumption for Civilian dual-use sensing &amp; autonomy platform. Official sector anchors: S02-S07 and S12; this value is not an official forecast.</xltc:text>
  </xltc:threadedComment>
  <xltc:threadedComment ref="P6" dT="2026-07-10T16:45:25.831" personId="{525A7438-1E0E-420F-A22C-3CEDEA0C77C5}" id="{54F30C0F-ABD2-78A4-F3B6-BE0F6BDE5295}">
    <xltc:text>Editable analyst assumption for Civilian dual-use sensing &amp; autonomy platform. Official sector anchors: S02-S07 and S12; this value is not an official forecast.</xltc:text>
  </xltc:threadedComment>
  <xltc:threadedComment ref="D7" dT="2026-07-10T16:45:25.831" personId="{525A7438-1E0E-420F-A22C-3CEDEA0C77C5}" id="{30318F52-8238-FDD0-5336-84286E6A17D5}">
    <xltc:text>Editable analyst assumption for Soy/protein processing &amp; traceable ingredients. Official sector anchors: S02-S07 and S12; this value is not an official forecast.</xltc:text>
  </xltc:threadedComment>
  <xltc:threadedComment ref="F7" dT="2026-07-10T16:45:25.831" personId="{525A7438-1E0E-420F-A22C-3CEDEA0C77C5}" id="{D6B9D077-35BC-B30A-846E-4DF05E9DB482}">
    <xltc:text>Editable analyst assumption for Soy/protein processing &amp; traceable ingredients. Official sector anchors: S02-S07 and S12; this value is not an official forecast.</xltc:text>
  </xltc:threadedComment>
  <xltc:threadedComment ref="G7" dT="2026-07-10T16:45:25.831" personId="{525A7438-1E0E-420F-A22C-3CEDEA0C77C5}" id="{889A3EF4-432E-4DF7-714A-C0DDC8CB3AB3}">
    <xltc:text>Editable analyst assumption for Soy/protein processing &amp; traceable ingredients. Official sector anchors: S02-S07 and S12; this value is not an official forecast.</xltc:text>
  </xltc:threadedComment>
  <xltc:threadedComment ref="H7" dT="2026-07-10T16:45:25.831" personId="{525A7438-1E0E-420F-A22C-3CEDEA0C77C5}" id="{407CE80E-27FC-9029-7B62-E115E5ABD429}">
    <xltc:text>Editable analyst assumption for Soy/protein processing &amp; traceable ingredients. Official sector anchors: S02-S07 and S12; this value is not an official forecast.</xltc:text>
  </xltc:threadedComment>
  <xltc:threadedComment ref="I7" dT="2026-07-10T16:45:25.831" personId="{525A7438-1E0E-420F-A22C-3CEDEA0C77C5}" id="{EA6A4253-A181-2680-F20F-7359F80DBA1A}">
    <xltc:text>Editable analyst assumption for Soy/protein processing &amp; traceable ingredients. Official sector anchors: S02-S07 and S12; this value is not an official forecast.</xltc:text>
  </xltc:threadedComment>
  <xltc:threadedComment ref="J7" dT="2026-07-10T16:45:25.831" personId="{525A7438-1E0E-420F-A22C-3CEDEA0C77C5}" id="{BB69876B-6475-9065-5513-D4DA5A5ED739}">
    <xltc:text>Editable analyst assumption for Soy/protein processing &amp; traceable ingredients. Official sector anchors: S02-S07 and S12; this value is not an official forecast.</xltc:text>
  </xltc:threadedComment>
  <xltc:threadedComment ref="K7" dT="2026-07-10T16:45:25.831" personId="{525A7438-1E0E-420F-A22C-3CEDEA0C77C5}" id="{2B7C5DAB-6315-7D5A-B49B-AD165F847648}">
    <xltc:text>Editable analyst assumption for Soy/protein processing &amp; traceable ingredients. Official sector anchors: S02-S07 and S12; this value is not an official forecast.</xltc:text>
  </xltc:threadedComment>
  <xltc:threadedComment ref="L7" dT="2026-07-10T16:45:25.831" personId="{525A7438-1E0E-420F-A22C-3CEDEA0C77C5}" id="{3E8E4708-E601-C637-2B85-A567DDB1BCA1}">
    <xltc:text>Editable analyst assumption for Soy/protein processing &amp; traceable ingredients. Official sector anchors: S02-S07 and S12; this value is not an official forecast.</xltc:text>
  </xltc:threadedComment>
  <xltc:threadedComment ref="M7" dT="2026-07-10T16:45:25.831" personId="{525A7438-1E0E-420F-A22C-3CEDEA0C77C5}" id="{2A171257-9A34-A1CC-DB16-17BD6CDE5627}">
    <xltc:text>Editable analyst assumption for Soy/protein processing &amp; traceable ingredients. Official sector anchors: S02-S07 and S12; this value is not an official forecast.</xltc:text>
  </xltc:threadedComment>
  <xltc:threadedComment ref="N7" dT="2026-07-10T16:45:25.831" personId="{525A7438-1E0E-420F-A22C-3CEDEA0C77C5}" id="{220CE5A8-9474-305E-75E8-A4AA27BB0CC3}">
    <xltc:text>Editable analyst assumption for Soy/protein processing &amp; traceable ingredients. Official sector anchors: S02-S07 and S12; this value is not an official forecast.</xltc:text>
  </xltc:threadedComment>
  <xltc:threadedComment ref="O7" dT="2026-07-10T16:45:25.831" personId="{525A7438-1E0E-420F-A22C-3CEDEA0C77C5}" id="{C3F39B8B-5CEB-35F8-16FC-7D7ECEB46816}">
    <xltc:text>Editable analyst assumption for Soy/protein processing &amp; traceable ingredients. Official sector anchors: S02-S07 and S12; this value is not an official forecast.</xltc:text>
  </xltc:threadedComment>
  <xltc:threadedComment ref="P7" dT="2026-07-10T16:45:25.831" personId="{525A7438-1E0E-420F-A22C-3CEDEA0C77C5}" id="{2A45E2D4-A3D4-CE00-36EF-97F0A9D7A4AA}">
    <xltc:text>Editable analyst assumption for Soy/protein processing &amp; traceable ingredients. Official sector anchors: S02-S07 and S12; this value is not an official forecast.</xltc:text>
  </xltc:threadedComment>
  <xltc:threadedComment ref="D8" dT="2026-07-10T16:45:25.832" personId="{525A7438-1E0E-420F-A22C-3CEDEA0C77C5}" id="{3A955671-0DE0-62EA-4086-E59CEE66ADBC}">
    <xltc:text>Editable analyst assumption for Low-carbon construction materials plant. Official sector anchors: S02-S07 and S12; this value is not an official forecast.</xltc:text>
  </xltc:threadedComment>
  <xltc:threadedComment ref="F8" dT="2026-07-10T16:45:25.832" personId="{525A7438-1E0E-420F-A22C-3CEDEA0C77C5}" id="{167E5AA7-2CB3-8D60-DE48-6D1EB253BC25}">
    <xltc:text>Editable analyst assumption for Low-carbon construction materials plant. Official sector anchors: S02-S07 and S12; this value is not an official forecast.</xltc:text>
  </xltc:threadedComment>
  <xltc:threadedComment ref="G8" dT="2026-07-10T16:45:25.832" personId="{525A7438-1E0E-420F-A22C-3CEDEA0C77C5}" id="{333787C6-C3E8-6A5F-549A-A909D86E0D89}">
    <xltc:text>Editable analyst assumption for Low-carbon construction materials plant. Official sector anchors: S02-S07 and S12; this value is not an official forecast.</xltc:text>
  </xltc:threadedComment>
  <xltc:threadedComment ref="H8" dT="2026-07-10T16:45:25.832" personId="{525A7438-1E0E-420F-A22C-3CEDEA0C77C5}" id="{6CCD4145-DE6C-9150-F755-BB778CC34F45}">
    <xltc:text>Editable analyst assumption for Low-carbon construction materials plant. Official sector anchors: S02-S07 and S12; this value is not an official forecast.</xltc:text>
  </xltc:threadedComment>
  <xltc:threadedComment ref="I8" dT="2026-07-10T16:45:25.832" personId="{525A7438-1E0E-420F-A22C-3CEDEA0C77C5}" id="{31D9D13D-9149-27A8-9AE8-9E31E6DBDD61}">
    <xltc:text>Editable analyst assumption for Low-carbon construction materials plant. Official sector anchors: S02-S07 and S12; this value is not an official forecast.</xltc:text>
  </xltc:threadedComment>
  <xltc:threadedComment ref="J8" dT="2026-07-10T16:45:25.832" personId="{525A7438-1E0E-420F-A22C-3CEDEA0C77C5}" id="{165575FC-59CA-571D-1688-5069FF291BFF}">
    <xltc:text>Editable analyst assumption for Low-carbon construction materials plant. Official sector anchors: S02-S07 and S12; this value is not an official forecast.</xltc:text>
  </xltc:threadedComment>
  <xltc:threadedComment ref="K8" dT="2026-07-10T16:45:25.832" personId="{525A7438-1E0E-420F-A22C-3CEDEA0C77C5}" id="{CD15BA0E-0169-FAF2-4685-BF2E30FEE04D}">
    <xltc:text>Editable analyst assumption for Low-carbon construction materials plant. Official sector anchors: S02-S07 and S12; this value is not an official forecast.</xltc:text>
  </xltc:threadedComment>
  <xltc:threadedComment ref="L8" dT="2026-07-10T16:45:25.832" personId="{525A7438-1E0E-420F-A22C-3CEDEA0C77C5}" id="{84C9FD7F-85EF-7824-B477-42DA6B707D56}">
    <xltc:text>Editable analyst assumption for Low-carbon construction materials plant. Official sector anchors: S02-S07 and S12; this value is not an official forecast.</xltc:text>
  </xltc:threadedComment>
  <xltc:threadedComment ref="M8" dT="2026-07-10T16:45:25.832" personId="{525A7438-1E0E-420F-A22C-3CEDEA0C77C5}" id="{4C1DF591-4B10-5DA9-F1F5-DDD9B93ADD6C}">
    <xltc:text>Editable analyst assumption for Low-carbon construction materials plant. Official sector anchors: S02-S07 and S12; this value is not an official forecast.</xltc:text>
  </xltc:threadedComment>
  <xltc:threadedComment ref="N8" dT="2026-07-10T16:45:25.832" personId="{525A7438-1E0E-420F-A22C-3CEDEA0C77C5}" id="{EEAC13BA-033D-A378-D3E8-98B84FACFA1C}">
    <xltc:text>Editable analyst assumption for Low-carbon construction materials plant. Official sector anchors: S02-S07 and S12; this value is not an official forecast.</xltc:text>
  </xltc:threadedComment>
  <xltc:threadedComment ref="O8" dT="2026-07-10T16:45:25.832" personId="{525A7438-1E0E-420F-A22C-3CEDEA0C77C5}" id="{7C38888B-C39C-DD56-AC31-4B8270101CDB}">
    <xltc:text>Editable analyst assumption for Low-carbon construction materials plant. Official sector anchors: S02-S07 and S12; this value is not an official forecast.</xltc:text>
  </xltc:threadedComment>
  <xltc:threadedComment ref="P8" dT="2026-07-10T16:45:25.832" personId="{525A7438-1E0E-420F-A22C-3CEDEA0C77C5}" id="{E51DBC19-C1BB-C4AF-5402-7E92995C84BD}">
    <xltc:text>Editable analyst assumption for Low-carbon construction materials plant. Official sector anchors: S02-S07 and S12; this value is not an official forecast.</xltc:text>
  </xltc:threadedComment>
  <xltc:threadedComment ref="D9" dT="2026-07-10T16:45:25.832" personId="{525A7438-1E0E-420F-A22C-3CEDEA0C77C5}" id="{2FF2CF93-4549-2B7F-8367-3B3950EE471A}">
    <xltc:text>Editable analyst assumption for Distributed industrial power &amp; storage SPV. Official sector anchors: S02-S07 and S12; this value is not an official forecast.</xltc:text>
  </xltc:threadedComment>
  <xltc:threadedComment ref="F9" dT="2026-07-10T16:45:25.832" personId="{525A7438-1E0E-420F-A22C-3CEDEA0C77C5}" id="{29EC7B71-0A91-C4C3-5B48-712CDC23A95C}">
    <xltc:text>Editable analyst assumption for Distributed industrial power &amp; storage SPV. Official sector anchors: S02-S07 and S12; this value is not an official forecast.</xltc:text>
  </xltc:threadedComment>
  <xltc:threadedComment ref="G9" dT="2026-07-10T16:45:25.832" personId="{525A7438-1E0E-420F-A22C-3CEDEA0C77C5}" id="{4AE703CC-F34B-FB8D-8803-09D40F2DF123}">
    <xltc:text>Editable analyst assumption for Distributed industrial power &amp; storage SPV. Official sector anchors: S02-S07 and S12; this value is not an official forecast.</xltc:text>
  </xltc:threadedComment>
  <xltc:threadedComment ref="H9" dT="2026-07-10T16:45:25.832" personId="{525A7438-1E0E-420F-A22C-3CEDEA0C77C5}" id="{6DFB6456-11C4-9DD8-785D-F5EB960700C5}">
    <xltc:text>Editable analyst assumption for Distributed industrial power &amp; storage SPV. Official sector anchors: S02-S07 and S12; this value is not an official forecast.</xltc:text>
  </xltc:threadedComment>
  <xltc:threadedComment ref="I9" dT="2026-07-10T16:45:25.832" personId="{525A7438-1E0E-420F-A22C-3CEDEA0C77C5}" id="{2354E7C8-B4F5-D56C-FB36-A0FF6709A0C4}">
    <xltc:text>Editable analyst assumption for Distributed industrial power &amp; storage SPV. Official sector anchors: S02-S07 and S12; this value is not an official forecast.</xltc:text>
  </xltc:threadedComment>
  <xltc:threadedComment ref="J9" dT="2026-07-10T16:45:25.832" personId="{525A7438-1E0E-420F-A22C-3CEDEA0C77C5}" id="{70A2FA8F-2439-8379-788F-F0C51D0B7755}">
    <xltc:text>Editable analyst assumption for Distributed industrial power &amp; storage SPV. Official sector anchors: S02-S07 and S12; this value is not an official forecast.</xltc:text>
  </xltc:threadedComment>
  <xltc:threadedComment ref="K9" dT="2026-07-10T16:45:25.832" personId="{525A7438-1E0E-420F-A22C-3CEDEA0C77C5}" id="{749842D6-09C7-8AAF-540E-A66E38469DE7}">
    <xltc:text>Editable analyst assumption for Distributed industrial power &amp; storage SPV. Official sector anchors: S02-S07 and S12; this value is not an official forecast.</xltc:text>
  </xltc:threadedComment>
  <xltc:threadedComment ref="L9" dT="2026-07-10T16:45:25.832" personId="{525A7438-1E0E-420F-A22C-3CEDEA0C77C5}" id="{174A449B-508E-135F-CC02-3737F0875AD1}">
    <xltc:text>Editable analyst assumption for Distributed industrial power &amp; storage SPV. Official sector anchors: S02-S07 and S12; this value is not an official forecast.</xltc:text>
  </xltc:threadedComment>
  <xltc:threadedComment ref="M9" dT="2026-07-10T16:45:25.832" personId="{525A7438-1E0E-420F-A22C-3CEDEA0C77C5}" id="{79CA3661-D0AD-27D6-403C-5713C08CF73A}">
    <xltc:text>Editable analyst assumption for Distributed industrial power &amp; storage SPV. Official sector anchors: S02-S07 and S12; this value is not an official forecast.</xltc:text>
  </xltc:threadedComment>
  <xltc:threadedComment ref="N9" dT="2026-07-10T16:45:25.832" personId="{525A7438-1E0E-420F-A22C-3CEDEA0C77C5}" id="{BF2B3417-03CF-C0D6-A906-3ADB70E33921}">
    <xltc:text>Editable analyst assumption for Distributed industrial power &amp; storage SPV. Official sector anchors: S02-S07 and S12; this value is not an official forecast.</xltc:text>
  </xltc:threadedComment>
  <xltc:threadedComment ref="O9" dT="2026-07-10T16:45:25.832" personId="{525A7438-1E0E-420F-A22C-3CEDEA0C77C5}" id="{5C6F6DAA-4555-9B60-0B89-C3AF9ACFFE9B}">
    <xltc:text>Editable analyst assumption for Distributed industrial power &amp; storage SPV. Official sector anchors: S02-S07 and S12; this value is not an official forecast.</xltc:text>
  </xltc:threadedComment>
  <xltc:threadedComment ref="P9" dT="2026-07-10T16:45:25.832" personId="{525A7438-1E0E-420F-A22C-3CEDEA0C77C5}" id="{7729F5F8-7009-AEB6-CA92-FD1CD6EAAA92}">
    <xltc:text>Editable analyst assumption for Distributed industrial power &amp; storage SPV. Official sector anchors: S02-S07 and S12; this value is not an official forecast.</xltc:text>
  </xltc:threadedComment>
  <xltc:threadedComment ref="B20" dT="2026-07-10T16:45:25.833" personId="{525A7438-1E0E-420F-A22C-3CEDEA0C77C5}" id="{949B2ADD-C8D3-FCCF-0642-F8393D6DF69F}">
    <xltc:text>Source S12: NBU inflation path through 2028.</xltc:text>
  </xltc:threadedComment>
  <xltc:threadedComment ref="C20" dT="2026-07-10T16:45:25.833" personId="{525A7438-1E0E-420F-A22C-3CEDEA0C77C5}" id="{66B9A1E7-727C-E134-E07A-C8CC995ABF3A}">
    <xltc:text>Analyst FX depreciation assumption. Source S14 supplies official historical/current rates; NBU does not publish this model path as an FX forecast.</xltc:text>
  </xltc:threadedComment>
  <xltc:threadedComment ref="B21" dT="2026-07-10T16:45:25.833" personId="{525A7438-1E0E-420F-A22C-3CEDEA0C77C5}" id="{71746700-0F05-AA2E-9847-8EDE26A7B7F3}">
    <xltc:text>Source S12: NBU inflation path through 2028.</xltc:text>
  </xltc:threadedComment>
  <xltc:threadedComment ref="C21" dT="2026-07-10T16:45:25.833" personId="{525A7438-1E0E-420F-A22C-3CEDEA0C77C5}" id="{1255EED4-7BA1-93E8-7B6D-72EA964922A6}">
    <xltc:text>Analyst FX depreciation assumption. Source S14 supplies official historical/current rates; NBU does not publish this model path as an FX forecast.</xltc:text>
  </xltc:threadedComment>
  <xltc:threadedComment ref="B22" dT="2026-07-10T16:45:25.833" personId="{525A7438-1E0E-420F-A22C-3CEDEA0C77C5}" id="{7EC336AC-F6DE-99F2-096B-780AC4EE7FC8}">
    <xltc:text>Source S12: NBU inflation path through 2028.</xltc:text>
  </xltc:threadedComment>
  <xltc:threadedComment ref="C22" dT="2026-07-10T16:45:25.833" personId="{525A7438-1E0E-420F-A22C-3CEDEA0C77C5}" id="{08DA050D-024A-0539-CB17-072D66C5E3DD}">
    <xltc:text>Analyst FX depreciation assumption. Source S14 supplies official historical/current rates; NBU does not publish this model path as an FX forecast.</xltc:text>
  </xltc:threadedComment>
  <xltc:threadedComment ref="B23" dT="2026-07-10T16:45:25.833" personId="{525A7438-1E0E-420F-A22C-3CEDEA0C77C5}" id="{655371C4-F265-E980-926C-8471980A39D7}">
    <xltc:text>Analyst assumption: 5% long-run inflation aligned with the NBU target; not an official forecast beyond the published horizon.</xltc:text>
  </xltc:threadedComment>
  <xltc:threadedComment ref="C23" dT="2026-07-10T16:45:25.833" personId="{525A7438-1E0E-420F-A22C-3CEDEA0C77C5}" id="{DB74ECB7-D793-82F9-F5EE-73BB1D74A024}">
    <xltc:text>Analyst FX depreciation assumption. Source S14 supplies official historical/current rates; NBU does not publish this model path as an FX forecast.</xltc:text>
  </xltc:threadedComment>
  <xltc:threadedComment ref="B24" dT="2026-07-10T16:45:25.834" personId="{525A7438-1E0E-420F-A22C-3CEDEA0C77C5}" id="{672FD675-B145-0E97-D61F-1756B6BAAA97}">
    <xltc:text>Analyst assumption: 5% long-run inflation aligned with the NBU target; not an official forecast beyond the published horizon.</xltc:text>
  </xltc:threadedComment>
  <xltc:threadedComment ref="C24" dT="2026-07-10T16:45:25.834" personId="{525A7438-1E0E-420F-A22C-3CEDEA0C77C5}" id="{8E054570-C6BC-E884-9FF0-54D0DAA897A6}">
    <xltc:text>Analyst FX depreciation assumption. Source S14 supplies official historical/current rates; NBU does not publish this model path as an FX forecast.</xltc:text>
  </xltc:threadedComment>
  <xltc:threadedComment ref="B25" dT="2026-07-10T16:45:25.834" personId="{525A7438-1E0E-420F-A22C-3CEDEA0C77C5}" id="{98A9B65E-8DD9-F1E8-2F53-01A7B1C1B9C2}">
    <xltc:text>Analyst assumption: 5% long-run inflation aligned with the NBU target; not an official forecast beyond the published horizon.</xltc:text>
  </xltc:threadedComment>
  <xltc:threadedComment ref="C25" dT="2026-07-10T16:45:25.834" personId="{525A7438-1E0E-420F-A22C-3CEDEA0C77C5}" id="{C594A8DD-FD00-7F6B-D875-949830ED15E6}">
    <xltc:text>Analyst FX depreciation assumption. Source S14 supplies official historical/current rates; NBU does not publish this model path as an FX forecast.</xltc:text>
  </xltc:threadedComment>
  <xltc:threadedComment ref="B26" dT="2026-07-10T16:45:25.834" personId="{525A7438-1E0E-420F-A22C-3CEDEA0C77C5}" id="{29E98848-7A72-577E-29D0-335771330974}">
    <xltc:text>Analyst assumption: 5% long-run inflation aligned with the NBU target; not an official forecast beyond the published horizon.</xltc:text>
  </xltc:threadedComment>
  <xltc:threadedComment ref="C26" dT="2026-07-10T16:45:25.834" personId="{525A7438-1E0E-420F-A22C-3CEDEA0C77C5}" id="{C8B58A97-0D80-5785-4F1C-FC00A7E421BE}">
    <xltc:text>Analyst FX depreciation assumption. Source S14 supplies official historical/current rates; NBU does not publish this model path as an FX forecast.</xltc:text>
  </xltc:threadedComment>
  <xltc:threadedComment ref="B27" dT="2026-07-10T16:45:25.834" personId="{525A7438-1E0E-420F-A22C-3CEDEA0C77C5}" id="{35F48FE5-B78B-87E4-416A-FDB4A216C529}">
    <xltc:text>Analyst assumption: 5% long-run inflation aligned with the NBU target; not an official forecast beyond the published horizon.</xltc:text>
  </xltc:threadedComment>
  <xltc:threadedComment ref="C27" dT="2026-07-10T16:45:25.834" personId="{525A7438-1E0E-420F-A22C-3CEDEA0C77C5}" id="{6DA9739A-C746-3F26-1768-F2DE66509CBF}">
    <xltc:text>Analyst FX depreciation assumption. Source S14 supplies official historical/current rates; NBU does not publish this model path as an FX forecast.</xltc:text>
  </xltc:threadedComment>
  <xltc:threadedComment ref="B28" dT="2026-07-10T16:45:25.834" personId="{525A7438-1E0E-420F-A22C-3CEDEA0C77C5}" id="{24169461-5D42-4EE9-9DB2-54ACF279F724}">
    <xltc:text>Analyst assumption: 5% long-run inflation aligned with the NBU target; not an official forecast beyond the published horizon.</xltc:text>
  </xltc:threadedComment>
  <xltc:threadedComment ref="C28" dT="2026-07-10T16:45:25.834" personId="{525A7438-1E0E-420F-A22C-3CEDEA0C77C5}" id="{D177D322-8C2E-3C45-DF5B-DA9470206D7D}">
    <xltc:text>Analyst FX depreciation assumption. Source S14 supplies official historical/current rates; NBU does not publish this model path as an FX forecast.</xltc:text>
  </xltc:threadedComment>
  <xltc:threadedComment ref="B29" dT="2026-07-10T16:45:25.834" personId="{525A7438-1E0E-420F-A22C-3CEDEA0C77C5}" id="{EA45FCBC-52DC-BCB0-9915-560504DD0257}">
    <xltc:text>Analyst assumption: 5% long-run inflation aligned with the NBU target; not an official forecast beyond the published horizon.</xltc:text>
  </xltc:threadedComment>
  <xltc:threadedComment ref="C29" dT="2026-07-10T16:45:25.834" personId="{525A7438-1E0E-420F-A22C-3CEDEA0C77C5}" id="{100AF3E3-761E-A54B-90C6-3CC2CE3E2323}">
    <xltc:text>Analyst FX depreciation assumption. Source S14 supplies official historical/current rates; NBU does not publish this model path as an FX forecast.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cb869b00bc494ca9" /><Relationship Type="http://schemas.openxmlformats.org/officeDocument/2006/relationships/vmlDrawing" Target="/xl/drawings/vmldrawing.vml" Id="R974473155f6c4948" /><Relationship Type="http://schemas.microsoft.com/office/2017/10/relationships/threadedComment" Target="/xl/threadedcomments/threadedcomment.xml" Id="R3d5aa8ce284740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07629b5fac214b2c" /><Relationship Type="http://schemas.openxmlformats.org/officeDocument/2006/relationships/vmlDrawing" Target="/xl/drawings/vmldrawing2.vml" Id="R34f5b8ec2d744002" /><Relationship Type="http://schemas.microsoft.com/office/2017/10/relationships/threadedComment" Target="/xl/threadedcomments/threadedcomment2.xml" Id="R36678231bbd048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2" hidden="0" customWidth="1"/>
    <x:col min="4" max="4" width="20" hidden="0" customWidth="1"/>
    <x:col min="5" max="5" width="13" hidden="0" customWidth="1"/>
    <x:col min="6" max="6" width="22" hidden="0" customWidth="1"/>
    <x:col min="7" max="7" width="13" hidden="0" customWidth="1"/>
    <x:col min="8" max="8" width="22" hidden="0" customWidth="1"/>
  </x:cols>
  <x:sheetData>
    <x:row r="1">
      <x:c r="A1" s="25" t="str">
        <x:v>Ukraine $10M / 10-Year Investment Model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As of 2026-07-09 | Official Ukrainian sources; editable analyst assumptions are identified in blue.</x:v>
      </x:c>
      <x:c r="B3" s="26"/>
      <x:c r="C3" s="26"/>
      <x:c r="D3" s="26"/>
      <x:c r="E3" s="26"/>
      <x:c r="F3" s="26"/>
      <x:c r="G3" s="26"/>
      <x:c r="H3" s="26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28" t="str">
        <x:v>Key output</x:v>
      </x:c>
      <x:c r="B5" s="28" t="str">
        <x:v>Value</x:v>
      </x:c>
      <x:c r="C5" s="27"/>
      <x:c r="D5" s="27"/>
      <x:c r="E5" s="27"/>
      <x:c r="F5" s="27"/>
      <x:c r="G5" s="27"/>
      <x:c r="H5" s="27"/>
    </x:row>
    <x:row r="6">
      <x:c r="A6" s="27" t="str">
        <x:v>Probability-weighted gross USD IRR</x:v>
      </x:c>
      <x:c r="B6" s="29" t="n">
        <x:f>'Portfolio &amp; Scenarios'!B6</x:f>
        <x:v>0.24554238525725947</x:v>
      </x:c>
      <x:c r="C6" s="27"/>
      <x:c r="D6" s="27"/>
      <x:c r="E6" s="27"/>
      <x:c r="F6" s="27"/>
      <x:c r="G6" s="27"/>
      <x:c r="H6" s="27"/>
    </x:row>
    <x:row r="7">
      <x:c r="A7" s="27" t="str">
        <x:v>Probability-weighted gross USD MOIC</x:v>
      </x:c>
      <x:c r="B7" s="30" t="n">
        <x:f>'Portfolio &amp; Scenarios'!B7</x:f>
        <x:v>6.502924623744664</x:v>
      </x:c>
      <x:c r="C7" s="27"/>
      <x:c r="D7" s="27"/>
      <x:c r="E7" s="27"/>
      <x:c r="F7" s="27"/>
      <x:c r="G7" s="27"/>
      <x:c r="H7" s="27"/>
    </x:row>
    <x:row r="8">
      <x:c r="A8" s="27" t="str">
        <x:v>Probability-weighted NPV @ 20% ($m)</x:v>
      </x:c>
      <x:c r="B8" s="31" t="n">
        <x:f>'Portfolio &amp; Scenarios'!B8</x:f>
        <x:v>3.480891872653361</x:v>
      </x:c>
      <x:c r="C8" s="27"/>
      <x:c r="D8" s="27"/>
      <x:c r="E8" s="27"/>
      <x:c r="F8" s="27"/>
      <x:c r="G8" s="27"/>
      <x:c r="H8" s="27"/>
    </x:row>
    <x:row r="9">
      <x:c r="A9" s="27" t="str">
        <x:v>Base gross USD IRR</x:v>
      </x:c>
      <x:c r="B9" s="29" t="n">
        <x:f>'Portfolio &amp; Scenarios'!B9</x:f>
        <x:v>0.2292766992453002</x:v>
      </x:c>
      <x:c r="C9" s="27"/>
      <x:c r="D9" s="27"/>
      <x:c r="E9" s="27"/>
      <x:c r="F9" s="27"/>
      <x:c r="G9" s="27"/>
      <x:c r="H9" s="27"/>
    </x:row>
    <x:row r="10">
      <x:c r="A10" s="27" t="str">
        <x:v>Downside gross USD IRR</x:v>
      </x:c>
      <x:c r="B10" s="29" t="n">
        <x:f>'Portfolio &amp; Scenarios'!B10</x:f>
        <x:v>0.030466055563510196</x:v>
      </x:c>
      <x:c r="C10" s="27"/>
      <x:c r="D10" s="27"/>
      <x:c r="E10" s="27"/>
      <x:c r="F10" s="27"/>
      <x:c r="G10" s="27"/>
      <x:c r="H10" s="27"/>
    </x:row>
    <x:row r="11">
      <x:c r="A11" s="27" t="str">
        <x:v>Upside gross USD IRR</x:v>
      </x:c>
      <x:c r="B11" s="29" t="n">
        <x:f>'Portfolio &amp; Scenarios'!B11</x:f>
        <x:v>0.3621395818786792</x:v>
      </x:c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  <x:row r="13">
      <x:c r="A13" s="32" t="str">
        <x:v>How to use this workbook</x:v>
      </x:c>
      <x:c r="B13" s="32"/>
      <x:c r="C13" s="32"/>
      <x:c r="D13" s="32"/>
      <x:c r="E13" s="32"/>
      <x:c r="F13" s="32"/>
      <x:c r="G13" s="32"/>
      <x:c r="H13" s="32"/>
    </x:row>
    <x:row r="14" ht="42" customHeight="1">
      <x:c r="A14" s="33" t="str">
        <x:v>1</x:v>
      </x:c>
      <x:c r="B14" s="34" t="str">
        <x:v>Official observations</x:v>
      </x:c>
      <x:c r="C14" s="35" t="str">
        <x:v>Sector Screen and Sources contain the statistical evidence. Official values are black; formulas are black; cross-sheet links are green.</x:v>
      </x:c>
      <x:c r="D14" s="35"/>
      <x:c r="E14" s="35"/>
      <x:c r="F14" s="35"/>
      <x:c r="G14" s="35"/>
      <x:c r="H14" s="35"/>
    </x:row>
    <x:row r="15" ht="42" customHeight="1">
      <x:c r="A15" s="33" t="str">
        <x:v>2</x:v>
      </x:c>
      <x:c r="B15" s="34" t="str">
        <x:v>Editable assumptions</x:v>
      </x:c>
      <x:c r="C15" s="35" t="str">
        <x:v>Blue inputs on Opportunity Assumptions control deal economics, macro paths and scenarios. They are analyst estimates, not government forecasts.</x:v>
      </x:c>
      <x:c r="D15" s="35"/>
      <x:c r="E15" s="35"/>
      <x:c r="F15" s="35"/>
      <x:c r="G15" s="35"/>
      <x:c r="H15" s="35"/>
    </x:row>
    <x:row r="16" ht="42" customHeight="1">
      <x:c r="A16" s="33" t="str">
        <x:v>3</x:v>
      </x:c>
      <x:c r="B16" s="34" t="str">
        <x:v>Returns</x:v>
      </x:c>
      <x:c r="C16" s="35" t="str">
        <x:v>Gross USD equity IRR/MOIC are after modeled portfolio-company tax, before investor-level tax, fees and carry. Base case is unlevered.</x:v>
      </x:c>
      <x:c r="D16" s="35"/>
      <x:c r="E16" s="35"/>
      <x:c r="F16" s="35"/>
      <x:c r="G16" s="35"/>
      <x:c r="H16" s="35"/>
    </x:row>
    <x:row r="17" ht="42" customHeight="1">
      <x:c r="A17" s="33" t="str">
        <x:v>4</x:v>
      </x:c>
      <x:c r="B17" s="34" t="str">
        <x:v>Territory rule</x:v>
      </x:c>
      <x:c r="C17" s="35" t="str">
        <x:v>Physical assets must be outside officially designated active-hostility and occupied territories; refresh the current order at diligence and closing.</x:v>
      </x:c>
      <x:c r="D17" s="35"/>
      <x:c r="E17" s="35"/>
      <x:c r="F17" s="35"/>
      <x:c r="G17" s="35"/>
      <x:c r="H17" s="35"/>
    </x:row>
    <x:row r="18" ht="42" customHeight="1">
      <x:c r="A18" s="33" t="str">
        <x:v>5</x:v>
      </x:c>
      <x:c r="B18" s="34" t="str">
        <x:v>Decision use</x:v>
      </x:c>
      <x:c r="C18" s="35" t="str">
        <x:v>This is a sector screen and illustrative deal model, not a substitute for target-level commercial, legal, sanctions, security, tax or technical diligence.</x:v>
      </x:c>
      <x:c r="D18" s="35"/>
      <x:c r="E18" s="35"/>
      <x:c r="F18" s="35"/>
      <x:c r="G18" s="35"/>
      <x:c r="H18" s="35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32" t="str">
        <x:v>Color convention</x:v>
      </x:c>
      <x:c r="B20" s="32"/>
      <x:c r="C20" s="32"/>
      <x:c r="D20" s="32"/>
      <x:c r="E20" s="32"/>
      <x:c r="F20" s="32"/>
      <x:c r="G20" s="32"/>
      <x:c r="H20" s="32"/>
    </x:row>
    <x:row r="21">
      <x:c r="A21" s="36" t="str">
        <x:v>Blue</x:v>
      </x:c>
      <x:c r="B21" s="27" t="str">
        <x:v>Editable analyst assumption</x:v>
      </x:c>
      <x:c r="C21" s="37" t="str">
        <x:v>Black</x:v>
      </x:c>
      <x:c r="D21" s="27" t="str">
        <x:v>Formula or official observation</x:v>
      </x:c>
      <x:c r="E21" s="38" t="str">
        <x:v>Green</x:v>
      </x:c>
      <x:c r="F21" s="27" t="str">
        <x:v>Cross-sheet formula</x:v>
      </x:c>
      <x:c r="G21" s="39" t="str">
        <x:v>Yellow</x:v>
      </x:c>
      <x:c r="H21" s="27" t="str">
        <x:v>Attention / update item</x:v>
      </x:c>
    </x:row>
    <x:row r="22">
      <x:c r="A22" s="27" t="str">
        <x:v>Official sources</x:v>
      </x:c>
      <x:c r="B22" s="27" t="str">
        <x:v>Plain URLs and cell comments</x:v>
      </x:c>
      <x:c r="C22" s="27" t="str">
        <x:v>Scenarios</x:v>
      </x:c>
      <x:c r="D22" s="27" t="str">
        <x:v>25% downside / 50% base / 25% upside</x:v>
      </x:c>
      <x:c r="E22" s="27" t="str">
        <x:v>Hurdle</x:v>
      </x:c>
      <x:c r="F22" s="27" t="str">
        <x:v>20% gross USD IRR</x:v>
      </x:c>
      <x:c r="G22" s="27" t="str">
        <x:v>Reserve</x:v>
      </x:c>
      <x:c r="H22" s="27" t="str">
        <x:v>$1.0m returned at cost in year 10</x:v>
      </x:c>
    </x:row>
  </x:sheetData>
  <x:mergeCells>
    <x:mergeCell ref="A1:H2"/>
    <x:mergeCell ref="A3:H3"/>
    <x:mergeCell ref="A13:H13"/>
    <x:mergeCell ref="C14:H14"/>
    <x:mergeCell ref="C15:H15"/>
    <x:mergeCell ref="C16:H16"/>
    <x:mergeCell ref="C17:H17"/>
    <x:mergeCell ref="C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33" hidden="0" customWidth="1"/>
    <x:col min="4" max="4" width="18" hidden="0" customWidth="1"/>
    <x:col min="5" max="5" width="18" hidden="0" customWidth="1"/>
    <x:col min="6" max="6" width="38" hidden="0" customWidth="1"/>
    <x:col min="7" max="7" width="56" hidden="0" customWidth="1"/>
    <x:col min="8" max="8" width="13" hidden="0" customWidth="1"/>
    <x:col min="9" max="9" width="30" hidden="0" customWidth="1"/>
    <x:col min="10" max="10" width="34" hidden="0" customWidth="1"/>
    <x:col min="11" max="11" width="48" hidden="0" customWidth="1"/>
  </x:cols>
  <x:sheetData>
    <x:row r="1">
      <x:c r="A1" s="25" t="str">
        <x:v>Official Sources &amp; Audit Trail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>
      <x:c r="A3" s="26" t="str">
        <x:v>Raw files are archived in sources/raw; each model input maps to a source ID or is labeled as an analyst assumption.</x:v>
      </x:c>
      <x:c r="B3" s="26"/>
      <x:c r="C3" s="26"/>
      <x:c r="D3" s="26"/>
      <x:c r="E3" s="26"/>
      <x:c r="F3" s="26"/>
      <x:c r="G3" s="26"/>
      <x:c r="H3" s="26"/>
      <x:c r="I3" s="27"/>
      <x:c r="J3" s="27"/>
      <x:c r="K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5">
      <x:c r="A5" s="87" t="str">
        <x:v>ID</x:v>
      </x:c>
      <x:c r="B5" s="88" t="str">
        <x:v>Publisher</x:v>
      </x:c>
      <x:c r="C5" s="88" t="str">
        <x:v>Dataset / document</x:v>
      </x:c>
      <x:c r="D5" s="88" t="str">
        <x:v>Period</x:v>
      </x:c>
      <x:c r="E5" s="88" t="str">
        <x:v>Units</x:v>
      </x:c>
      <x:c r="F5" s="88" t="str">
        <x:v>Raw file</x:v>
      </x:c>
      <x:c r="G5" s="88" t="str">
        <x:v>URL</x:v>
      </x:c>
      <x:c r="H5" s="88" t="str">
        <x:v>Retrieved</x:v>
      </x:c>
      <x:c r="I5" s="88" t="str">
        <x:v>Model use</x:v>
      </x:c>
      <x:c r="J5" s="88" t="str">
        <x:v>Transformation</x:v>
      </x:c>
      <x:c r="K5" s="89" t="str">
        <x:v>Caveat</x:v>
      </x:c>
    </x:row>
    <x:row r="6" ht="58" customHeight="1">
      <x:c r="A6" s="90" t="str">
        <x:v>S01</x:v>
      </x:c>
      <x:c r="B6" s="91" t="str">
        <x:v>State Statistics Service of Ukraine</x:v>
      </x:c>
      <x:c r="C6" s="91" t="str">
        <x:v>SDMX dataflow registry</x:v>
      </x:c>
      <x:c r="D6" s="91" t="str">
        <x:v>Prepared 2026-07-10</x:v>
      </x:c>
      <x:c r="E6" s="91" t="str">
        <x:v>Metadata</x:v>
      </x:c>
      <x:c r="F6" s="91" t="str">
        <x:v>raw/ukrstat_sdmx_dataflows.json</x:v>
      </x:c>
      <x:c r="G6" s="91" t="str">
        <x:v>https://stat.gov.ua/sdmx/workspaces/default:integration/registry/sdmx/3.0/structure/dataflow/all/all/latest?detail=full&amp;references=none</x:v>
      </x:c>
      <x:c r="H6" s="91" t="str">
        <x:v>2026-07-09</x:v>
      </x:c>
      <x:c r="I6" s="91" t="str">
        <x:v>Dataset discovery</x:v>
      </x:c>
      <x:c r="J6" s="91" t="str">
        <x:v>None</x:v>
      </x:c>
      <x:c r="K6" s="92" t="str">
        <x:v>Registry prepared after the US retrieval date because the Ukrainian portal timestamp is already 2026-07-10.</x:v>
      </x:c>
    </x:row>
    <x:row r="7" ht="58" customHeight="1">
      <x:c r="A7" s="90" t="str">
        <x:v>S02</x:v>
      </x:c>
      <x:c r="B7" s="91" t="str">
        <x:v>State Statistics Service of Ukraine</x:v>
      </x:c>
      <x:c r="C7" s="91" t="str">
        <x:v>Performance indicators of enterprises</x:v>
      </x:c>
      <x:c r="D7" s="91" t="str">
        <x:v>2012-2024</x:v>
      </x:c>
      <x:c r="E7" s="91" t="str">
        <x:v>UAH with SDMX scale attributes</x:v>
      </x:c>
      <x:c r="F7" s="91" t="str">
        <x:v>raw/ukrstat_performance_enterprises_selected.json</x:v>
      </x:c>
      <x:c r="G7" s="91" t="str">
        <x:v>https://stat.gov.ua/en/datasets/performance-indicators-enterprises</x:v>
      </x:c>
      <x:c r="H7" s="91" t="str">
        <x:v>2026-07-09</x:v>
      </x:c>
      <x:c r="I7" s="91" t="str">
        <x:v>Turnover value added output employment and gross operating surplus</x:v>
      </x:c>
      <x:c r="J7" s="91" t="str">
        <x:v>Filtered to Ukraine total and selected indicators; ratios computed without changing source values</x:v>
      </x:c>
      <x:c r="K7" s="92" t="str">
        <x:v>Beginning 2022 excludes temporarily occupied territories and parts of territories where military actions are/were conducted; banks and budget organizations excluded.</x:v>
      </x:c>
    </x:row>
    <x:row r="8" ht="58" customHeight="1">
      <x:c r="A8" s="90" t="str">
        <x:v>S03</x:v>
      </x:c>
      <x:c r="B8" s="91" t="str">
        <x:v>State Statistics Service of Ukraine</x:v>
      </x:c>
      <x:c r="C8" s="91" t="str">
        <x:v>Gross investment of enterprises</x:v>
      </x:c>
      <x:c r="D8" s="91" t="str">
        <x:v>2012-2023</x:v>
      </x:c>
      <x:c r="E8" s="91" t="str">
        <x:v>UAH with SDMX scale attributes</x:v>
      </x:c>
      <x:c r="F8" s="91" t="str">
        <x:v>raw/ukrstat_gross_investment_enterprises.json</x:v>
      </x:c>
      <x:c r="G8" s="91" t="str">
        <x:v>https://stat.gov.ua/en/datasets/performance-indicators-enterprises</x:v>
      </x:c>
      <x:c r="H8" s="91" t="str">
        <x:v>2026-07-09</x:v>
      </x:c>
      <x:c r="I8" s="91" t="str">
        <x:v>Capital-efficiency proxy</x:v>
      </x:c>
      <x:c r="J8" s="91" t="str">
        <x:v>Filtered to Ukraine total and total investment by NACE</x:v>
      </x:c>
      <x:c r="K8" s="92" t="str">
        <x:v>Latest observation is 2023 for screened sectors; same territorial exclusions as S02.</x:v>
      </x:c>
    </x:row>
    <x:row r="9" ht="58" customHeight="1">
      <x:c r="A9" s="90" t="str">
        <x:v>S04</x:v>
      </x:c>
      <x:c r="B9" s="91" t="str">
        <x:v>State Statistics Service of Ukraine</x:v>
      </x:c>
      <x:c r="C9" s="91" t="str">
        <x:v>Financial results of enterprises annual</x:v>
      </x:c>
      <x:c r="D9" s="91" t="str">
        <x:v>2015-2025</x:v>
      </x:c>
      <x:c r="E9" s="91" t="str">
        <x:v>Percent and UAH with SDMX scale attributes</x:v>
      </x:c>
      <x:c r="F9" s="91" t="str">
        <x:v>raw/ukrstat_financial_results_selected.json</x:v>
      </x:c>
      <x:c r="G9" s="91" t="str">
        <x:v>https://stat.gov.ua/en/datasets/financial-results-enterprises-annual</x:v>
      </x:c>
      <x:c r="H9" s="91" t="str">
        <x:v>2026-07-09</x:v>
      </x:c>
      <x:c r="I9" s="91" t="str">
        <x:v>Operating profitability all-activity profitability profitable-enterprise share and revenue</x:v>
      </x:c>
      <x:c r="J9" s="91" t="str">
        <x:v>Filtered to total enterprises by NACE</x:v>
      </x:c>
      <x:c r="K9" s="92" t="str">
        <x:v>Banks excluded; beginning 2022 excludes temporarily occupied territories and parts of territories where military actions are/were conducted.</x:v>
      </x:c>
    </x:row>
    <x:row r="10" ht="58" customHeight="1">
      <x:c r="A10" s="90" t="str">
        <x:v>S05</x:v>
      </x:c>
      <x:c r="B10" s="91" t="str">
        <x:v>State Statistics Service of Ukraine</x:v>
      </x:c>
      <x:c r="C10" s="91" t="str">
        <x:v>Balance of enterprises annual</x:v>
      </x:c>
      <x:c r="D10" s="91" t="str">
        <x:v>2015-2025</x:v>
      </x:c>
      <x:c r="E10" s="91" t="str">
        <x:v>UAH with SDMX scale attributes</x:v>
      </x:c>
      <x:c r="F10" s="91" t="str">
        <x:v>raw/ukrstat_balance_sheet_selected.json</x:v>
      </x:c>
      <x:c r="G10" s="91" t="str">
        <x:v>https://stat.gov.ua/en/datasets/balance-enterprises-annual</x:v>
      </x:c>
      <x:c r="H10" s="91" t="str">
        <x:v>2026-07-09</x:v>
      </x:c>
      <x:c r="I10" s="91" t="str">
        <x:v>Working-capital and inventory intensity</x:v>
      </x:c>
      <x:c r="J10" s="91" t="str">
        <x:v>Current assets less current payables divided by revenue; inventory divided by revenue</x:v>
      </x:c>
      <x:c r="K10" s="92" t="str">
        <x:v>Aggregate balance-sheet definitions do not equal deal-level normalized working capital.</x:v>
      </x:c>
    </x:row>
    <x:row r="11" ht="58" customHeight="1">
      <x:c r="A11" s="90" t="str">
        <x:v>S06</x:v>
      </x:c>
      <x:c r="B11" s="91" t="str">
        <x:v>State Statistics Service of Ukraine</x:v>
      </x:c>
      <x:c r="C11" s="91" t="str">
        <x:v>Foreign trade in services</x:v>
      </x:c>
      <x:c r="D11" s="91" t="str">
        <x:v>2015-2024</x:v>
      </x:c>
      <x:c r="E11" s="91" t="str">
        <x:v>Thousand USD</x:v>
      </x:c>
      <x:c r="F11" s="91" t="str">
        <x:v>raw/ukrstat_service_exports_selected.json</x:v>
      </x:c>
      <x:c r="G11" s="91" t="str">
        <x:v>https://stat.gov.ua/en/datasets/foreign-trade-services</x:v>
      </x:c>
      <x:c r="H11" s="91" t="str">
        <x:v>2026-07-09</x:v>
      </x:c>
      <x:c r="I11" s="91" t="str">
        <x:v>Export anchors for transport ICT and business services</x:v>
      </x:c>
      <x:c r="J11" s="91" t="str">
        <x:v>Filtered to Ukraine total counterpart total and annual service groups 03 09 and 10</x:v>
      </x:c>
      <x:c r="K11" s="92" t="str">
        <x:v>Category exports are context and are not attributed one-for-one to a NACE sector or opportunity.</x:v>
      </x:c>
    </x:row>
    <x:row r="12" ht="58" customHeight="1">
      <x:c r="A12" s="90" t="str">
        <x:v>S07</x:v>
      </x:c>
      <x:c r="B12" s="91" t="str">
        <x:v>State Statistics Service of Ukraine</x:v>
      </x:c>
      <x:c r="C12" s="91" t="str">
        <x:v>External trade of goods</x:v>
      </x:c>
      <x:c r="D12" s="91" t="str">
        <x:v>2015-2024</x:v>
      </x:c>
      <x:c r="E12" s="91" t="str">
        <x:v>Thousand USD</x:v>
      </x:c>
      <x:c r="F12" s="91" t="str">
        <x:v>raw/ukrstat_goods_exports_selected.json</x:v>
      </x:c>
      <x:c r="G12" s="91" t="str">
        <x:v>https://stat.gov.ua/en/datasets/external-trade-goods</x:v>
      </x:c>
      <x:c r="H12" s="91" t="str">
        <x:v>2026-07-09</x:v>
      </x:c>
      <x:c r="I12" s="91" t="str">
        <x:v>Export anchors for agro-processing construction materials machinery and transport equipment</x:v>
      </x:c>
      <x:c r="J12" s="91" t="str">
        <x:v>Filtered to annual chapter totals for chapters II III IV XIII XVI and XVII</x:v>
      </x:c>
      <x:c r="K12" s="92" t="str">
        <x:v>Commodity chapters are context and are not attributed one-for-one to a NACE sector or opportunity.</x:v>
      </x:c>
    </x:row>
    <x:row r="13" ht="58" customHeight="1">
      <x:c r="A13" s="90" t="str">
        <x:v>S08</x:v>
      </x:c>
      <x:c r="B13" s="91" t="str">
        <x:v>State Statistics Service of Ukraine</x:v>
      </x:c>
      <x:c r="C13" s="91" t="str">
        <x:v>Annual national accounts by economic activity</x:v>
      </x:c>
      <x:c r="D13" s="91" t="str">
        <x:v>2024</x:v>
      </x:c>
      <x:c r="E13" s="91" t="str">
        <x:v>UAH</x:v>
      </x:c>
      <x:c r="F13" s="91" t="str">
        <x:v>raw/ukrstat_national_accounts_by_activity_2024.xlsx</x:v>
      </x:c>
      <x:c r="G13" s="91" t="str">
        <x:v>https://stat.gov.ua/en/datasets/annual-national-accounts</x:v>
      </x:c>
      <x:c r="H13" s="91" t="str">
        <x:v>2026-07-09</x:v>
      </x:c>
      <x:c r="I13" s="91" t="str">
        <x:v>National-accounts cross-check</x:v>
      </x:c>
      <x:c r="J13" s="91" t="str">
        <x:v>Archived as published</x:v>
      </x:c>
      <x:c r="K13" s="92" t="str">
        <x:v>Workbook definitions follow national accounts rather than enterprise structural statistics.</x:v>
      </x:c>
    </x:row>
    <x:row r="14" ht="58" customHeight="1">
      <x:c r="A14" s="90" t="str">
        <x:v>S09</x:v>
      </x:c>
      <x:c r="B14" s="91" t="str">
        <x:v>State Statistics Service of Ukraine</x:v>
      </x:c>
      <x:c r="C14" s="91" t="str">
        <x:v>Gross fixed capital formation by economic activity and asset</x:v>
      </x:c>
      <x:c r="D14" s="91" t="str">
        <x:v>2022-2024</x:v>
      </x:c>
      <x:c r="E14" s="91" t="str">
        <x:v>UAH</x:v>
      </x:c>
      <x:c r="F14" s="91" t="str">
        <x:v>raw/ukrstat_gfcf_by_activity_2022-2024.xlsx</x:v>
      </x:c>
      <x:c r="G14" s="91" t="str">
        <x:v>https://stat.gov.ua/en/datasets/annual-national-accounts</x:v>
      </x:c>
      <x:c r="H14" s="91" t="str">
        <x:v>2026-07-09</x:v>
      </x:c>
      <x:c r="I14" s="91" t="str">
        <x:v>Investment cross-check</x:v>
      </x:c>
      <x:c r="J14" s="91" t="str">
        <x:v>Archived as published</x:v>
      </x:c>
      <x:c r="K14" s="92" t="str">
        <x:v>National-accounts GFCF is not interchangeable with enterprise gross investment.</x:v>
      </x:c>
    </x:row>
    <x:row r="15" ht="58" customHeight="1">
      <x:c r="A15" s="90" t="str">
        <x:v>S10</x:v>
      </x:c>
      <x:c r="B15" s="91" t="str">
        <x:v>State Statistics Service of Ukraine</x:v>
      </x:c>
      <x:c r="C15" s="91" t="str">
        <x:v>Enterprise output by activity and region</x:v>
      </x:c>
      <x:c r="D15" s="91" t="str">
        <x:v>2014-2024</x:v>
      </x:c>
      <x:c r="E15" s="91" t="str">
        <x:v>UAH</x:v>
      </x:c>
      <x:c r="F15" s="91" t="str">
        <x:v>raw/ukrstat_enterprise_output_by_activity_region_2014-2024.xlsx</x:v>
      </x:c>
      <x:c r="G15" s="91" t="str">
        <x:v>https://stat.gov.ua/en/datasets/performance-indicators-enterprises</x:v>
      </x:c>
      <x:c r="H15" s="91" t="str">
        <x:v>2026-07-09</x:v>
      </x:c>
      <x:c r="I15" s="91" t="str">
        <x:v>Regional evidence</x:v>
      </x:c>
      <x:c r="J15" s="91" t="str">
        <x:v>Archived as published</x:v>
      </x:c>
      <x:c r="K15" s="92" t="str">
        <x:v>Regional comparisons inherit wartime coverage and confidentiality limitations.</x:v>
      </x:c>
    </x:row>
    <x:row r="16" ht="58" customHeight="1">
      <x:c r="A16" s="90" t="str">
        <x:v>S11</x:v>
      </x:c>
      <x:c r="B16" s="91" t="str">
        <x:v>State Statistics Service of Ukraine</x:v>
      </x:c>
      <x:c r="C16" s="91" t="str">
        <x:v>Enterprise value added by activity and region</x:v>
      </x:c>
      <x:c r="D16" s="91" t="str">
        <x:v>2014-2024</x:v>
      </x:c>
      <x:c r="E16" s="91" t="str">
        <x:v>UAH</x:v>
      </x:c>
      <x:c r="F16" s="91" t="str">
        <x:v>raw/ukrstat_enterprise_value_added_by_activity_region_2014-2024.xlsx</x:v>
      </x:c>
      <x:c r="G16" s="91" t="str">
        <x:v>https://stat.gov.ua/en/datasets/performance-indicators-enterprises</x:v>
      </x:c>
      <x:c r="H16" s="91" t="str">
        <x:v>2026-07-09</x:v>
      </x:c>
      <x:c r="I16" s="91" t="str">
        <x:v>Regional evidence</x:v>
      </x:c>
      <x:c r="J16" s="91" t="str">
        <x:v>Archived as published</x:v>
      </x:c>
      <x:c r="K16" s="92" t="str">
        <x:v>Regional comparisons inherit wartime coverage and confidentiality limitations.</x:v>
      </x:c>
    </x:row>
    <x:row r="17" ht="58" customHeight="1">
      <x:c r="A17" s="90" t="str">
        <x:v>S12</x:v>
      </x:c>
      <x:c r="B17" s="91" t="str">
        <x:v>National Bank of Ukraine</x:v>
      </x:c>
      <x:c r="C17" s="91" t="str">
        <x:v>Inflation Report January 2026</x:v>
      </x:c>
      <x:c r="D17" s="91" t="str">
        <x:v>Forecast through 2028</x:v>
      </x:c>
      <x:c r="E17" s="91" t="str">
        <x:v>Percent and UAH/USD macro variables</x:v>
      </x:c>
      <x:c r="F17" s="91" t="str">
        <x:v>raw/nbu_inflation_report_2026_q1_en.pdf</x:v>
      </x:c>
      <x:c r="G17" s="91" t="str">
        <x:v>https://bank.gov.ua/en/monetary/report</x:v>
      </x:c>
      <x:c r="H17" s="91" t="str">
        <x:v>2026-07-09</x:v>
      </x:c>
      <x:c r="I17" s="91" t="str">
        <x:v>Inflation GDP energy-deficit and macro scenario anchors</x:v>
      </x:c>
      <x:c r="J17" s="91" t="str">
        <x:v>2023-2024 GDP deflators used for approximate real-growth normalization; 2026-2028 inflation used as the base path</x:v>
      </x:c>
      <x:c r="K17" s="92" t="str">
        <x:v>NBU forecasts are official scenarios rather than guarantees.</x:v>
      </x:c>
    </x:row>
    <x:row r="18" ht="58" customHeight="1">
      <x:c r="A18" s="90" t="str">
        <x:v>S13</x:v>
      </x:c>
      <x:c r="B18" s="91" t="str">
        <x:v>National Bank of Ukraine</x:v>
      </x:c>
      <x:c r="C18" s="91" t="str">
        <x:v>Inflation Report summary January 2026</x:v>
      </x:c>
      <x:c r="D18" s="91" t="str">
        <x:v>Forecast through 2028</x:v>
      </x:c>
      <x:c r="E18" s="91" t="str">
        <x:v>Percent and UAH billions</x:v>
      </x:c>
      <x:c r="F18" s="91" t="str">
        <x:v>raw/nbu_inflation_report_2026_q1_summary_en.pdf</x:v>
      </x:c>
      <x:c r="G18" s="91" t="str">
        <x:v>https://bank.gov.ua/en/news/all/inflyatsiyniy-zvit-sichen-2026-roku</x:v>
      </x:c>
      <x:c r="H18" s="91" t="str">
        <x:v>2026-07-09</x:v>
      </x:c>
      <x:c r="I18" s="91" t="str">
        <x:v>Macro forecast table</x:v>
      </x:c>
      <x:c r="J18" s="91" t="str">
        <x:v>Archived as published</x:v>
      </x:c>
      <x:c r="K18" s="92" t="str">
        <x:v>Same forecast caveat as S12.</x:v>
      </x:c>
    </x:row>
    <x:row r="19" ht="58" customHeight="1">
      <x:c r="A19" s="90" t="str">
        <x:v>S14</x:v>
      </x:c>
      <x:c r="B19" s="91" t="str">
        <x:v>National Bank of Ukraine</x:v>
      </x:c>
      <x:c r="C19" s="91" t="str">
        <x:v>Official USD exchange-rate snapshots</x:v>
      </x:c>
      <x:c r="D19" s="91" t="str">
        <x:v>2024-12-31 to 2026-07-09</x:v>
      </x:c>
      <x:c r="E19" s="91" t="str">
        <x:v>UAH per USD</x:v>
      </x:c>
      <x:c r="F19" s="91" t="str">
        <x:v>raw/nbu_fx_usd_2024-12-31.json; raw/nbu_fx_usd_2025-12-31.json; raw/nbu_fx_usd_2026-07-09.json</x:v>
      </x:c>
      <x:c r="G19" s="91" t="str">
        <x:v>https://bank.gov.ua/NBUStatService/v1/statdirectory/exchange?valcode=USD&amp;date=20260709&amp;json</x:v>
      </x:c>
      <x:c r="H19" s="91" t="str">
        <x:v>2026-07-09</x:v>
      </x:c>
      <x:c r="I19" s="91" t="str">
        <x:v>Current conversion reference and FX sensitivity</x:v>
      </x:c>
      <x:c r="J19" s="91" t="str">
        <x:v>No exchange-rate forecast is represented as an NBU forecast; future depreciation is an analyst assumption</x:v>
      </x:c>
      <x:c r="K19" s="92" t="str">
        <x:v>Official daily rates do not establish achievable deal-conversion rates.</x:v>
      </x:c>
    </x:row>
    <x:row r="20" ht="58" customHeight="1">
      <x:c r="A20" s="90" t="str">
        <x:v>S15</x:v>
      </x:c>
      <x:c r="B20" s="91" t="str">
        <x:v>UkraineInvest</x:v>
      </x:c>
      <x:c r="C20" s="91" t="str">
        <x:v>Investment Opportunities in Ukraine</x:v>
      </x:c>
      <x:c r="D20" s="91" t="str">
        <x:v>Current official guide archived 2026-07-09</x:v>
      </x:c>
      <x:c r="E20" s="91" t="str">
        <x:v>Various</x:v>
      </x:c>
      <x:c r="F20" s="91" t="str">
        <x:v>raw/ukraineinvest_investment_opportunities_2024_en.pdf</x:v>
      </x:c>
      <x:c r="G20" s="91" t="str">
        <x:v>https://ukraineinvest.gov.ua/wp-content/uploads/2024/11/en_25_11zagalna_investment_opportunities_in_ukraine1_compressed-1.pdf</x:v>
      </x:c>
      <x:c r="H20" s="91" t="str">
        <x:v>2026-07-09</x:v>
      </x:c>
      <x:c r="I20" s="91" t="str">
        <x:v>Sector priorities and opportunity context</x:v>
      </x:c>
      <x:c r="J20" s="91" t="str">
        <x:v>Qualitative context only</x:v>
      </x:c>
      <x:c r="K20" s="92" t="str">
        <x:v>Guide metrics may have source dates earlier than retrieval.</x:v>
      </x:c>
    </x:row>
    <x:row r="21" ht="58" customHeight="1">
      <x:c r="A21" s="90" t="str">
        <x:v>S16</x:v>
      </x:c>
      <x:c r="B21" s="91" t="str">
        <x:v>UkraineInvest</x:v>
      </x:c>
      <x:c r="C21" s="91" t="str">
        <x:v>Guide for investment projects with significant investments</x:v>
      </x:c>
      <x:c r="D21" s="91" t="str">
        <x:v>Current official guide archived 2026-07-09</x:v>
      </x:c>
      <x:c r="E21" s="91" t="str">
        <x:v>EUR and percent</x:v>
      </x:c>
      <x:c r="F21" s="91" t="str">
        <x:v>raw/ukraineinvest_significant_investment_guide_en.pdf</x:v>
      </x:c>
      <x:c r="G21" s="91" t="str">
        <x:v>https://ukraineinvest.gov.ua/wp-content/uploads/2024/10/eng-guide-for-investment-projects-with-significant-investments-1.pdf</x:v>
      </x:c>
      <x:c r="H21" s="91" t="str">
        <x:v>2026-07-09</x:v>
      </x:c>
      <x:c r="I21" s="91" t="str">
        <x:v>Eligibility and support context</x:v>
      </x:c>
      <x:c r="J21" s="91" t="str">
        <x:v>No incentive included in base-case returns</x:v>
      </x:c>
      <x:c r="K21" s="92" t="str">
        <x:v>The $10M portfolio is below the EUR12M project threshold unless combined with other capital; eligibility requires legal and project-level review.</x:v>
      </x:c>
    </x:row>
    <x:row r="22" ht="58" customHeight="1">
      <x:c r="A22" s="90" t="str">
        <x:v>S17</x:v>
      </x:c>
      <x:c r="B22" s="91" t="str">
        <x:v>UkraineInvest</x:v>
      </x:c>
      <x:c r="C22" s="91" t="str">
        <x:v>Priority sectors for investment</x:v>
      </x:c>
      <x:c r="D22" s="91" t="str">
        <x:v>2026</x:v>
      </x:c>
      <x:c r="E22" s="91" t="str">
        <x:v>Qualitative</x:v>
      </x:c>
      <x:c r="F22" s="91" t="str">
        <x:v>raw/ukraineinvest_priority_sectors_2026.html</x:v>
      </x:c>
      <x:c r="G22" s="91" t="str">
        <x:v>https://ukraineinvest.gov.ua/en/news/ukraineinvest-presented-practical-investor-engagement-tools-to-economic-diplomats/</x:v>
      </x:c>
      <x:c r="H22" s="91" t="str">
        <x:v>2026-07-09</x:v>
      </x:c>
      <x:c r="I22" s="91" t="str">
        <x:v>Structural-demand score</x:v>
      </x:c>
      <x:c r="J22" s="91" t="str">
        <x:v>Qualitative analyst mapping</x:v>
      </x:c>
      <x:c r="K22" s="92" t="str">
        <x:v>Priority designation is not a return forecast.</x:v>
      </x:c>
    </x:row>
    <x:row r="23" ht="58" customHeight="1">
      <x:c r="A23" s="90" t="str">
        <x:v>S18</x:v>
      </x:c>
      <x:c r="B23" s="91" t="str">
        <x:v>UkraineInvest</x:v>
      </x:c>
      <x:c r="C23" s="91" t="str">
        <x:v>EU-Ukraine Business Summit 2026 investor Q&amp;A</x:v>
      </x:c>
      <x:c r="D23" s="91" t="str">
        <x:v>2026</x:v>
      </x:c>
      <x:c r="E23" s="91" t="str">
        <x:v>EUR USD percent and qualitative</x:v>
      </x:c>
      <x:c r="F23" s="91" t="str">
        <x:v>raw/ukraineinvest_eu_summit_2026.html</x:v>
      </x:c>
      <x:c r="G23" s="91" t="str">
        <x:v>https://ukraineinvest.gov.ua/en/news/investing-in-ukraine-now-ukraineinvest-hosts-interactive-qa-session-at-the-eu-ukraine-business-summit-2026/</x:v>
      </x:c>
      <x:c r="H23" s="91" t="str">
        <x:v>2026-07-09</x:v>
      </x:c>
      <x:c r="I23" s="91" t="str">
        <x:v>Financing and sector context</x:v>
      </x:c>
      <x:c r="J23" s="91" t="str">
        <x:v>Potential financing excluded from base case unless documented for a specific target</x:v>
      </x:c>
      <x:c r="K23" s="92" t="str">
        <x:v>Reported instruments require separate eligibility and diligence.</x:v>
      </x:c>
    </x:row>
    <x:row r="24" ht="58" customHeight="1">
      <x:c r="A24" s="93" t="str">
        <x:v>S19</x:v>
      </x:c>
      <x:c r="B24" s="94" t="str">
        <x:v>Ministry for Development of Communities and Territories via Verkhovna Rada legislation portal</x:v>
      </x:c>
      <x:c r="C24" s="94" t="str">
        <x:v>Consolidated list of territories where hostilities are or were conducted or temporarily occupied</x:v>
      </x:c>
      <x:c r="D24" s="94" t="str">
        <x:v>Revision effective 2026-06-24</x:v>
      </x:c>
      <x:c r="E24" s="94" t="str">
        <x:v>Administrative-territory status</x:v>
      </x:c>
      <x:c r="F24" s="94" t="str">
        <x:v>raw/official_territory_list_update_2026.html; raw/official_territory_order_1082_amended_1180_2026.html; raw/official_territory_order_1180_2026.html</x:v>
      </x:c>
      <x:c r="G24" s="94" t="str">
        <x:v>https://zakon.rada.gov.ua/laws/show/z0380-25</x:v>
      </x:c>
      <x:c r="H24" s="94" t="str">
        <x:v>2026-07-10</x:v>
      </x:c>
      <x:c r="I24" s="94" t="str">
        <x:v>Geographic exclusion rule</x:v>
      </x:c>
      <x:c r="J24" s="94" t="str">
        <x:v>Exclude active-hostility and occupied territories; current consolidated text incorporates Orders 987 1082 and 1180</x:v>
      </x:c>
      <x:c r="K24" s="95" t="str">
        <x:v>The list changes over time and must be refreshed at diligence and closing.</x:v>
      </x:c>
    </x:row>
  </x:sheetData>
  <x:mergeCells>
    <x:mergeCell ref="A1:K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" hidden="0" customWidth="1"/>
    <x:col min="3" max="3" width="31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  <x:col min="16" max="16" width="18" hidden="0" customWidth="1"/>
    <x:col min="17" max="17" width="10" hidden="0" customWidth="1"/>
  </x:cols>
  <x:sheetData>
    <x:row r="1">
      <x:c r="A1" s="25" t="str">
        <x:v>Risk-Adjusted Sector Screen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>
      <x:c r="A3" s="26" t="str">
        <x:v>0-100 score: profitability 20% | real growth 20% | export/import substitution 15% | capital efficiency 15% | structural demand 15% | resilience/data confidence 15%.</x:v>
      </x:c>
      <x:c r="B3" s="26"/>
      <x:c r="C3" s="26"/>
      <x:c r="D3" s="26"/>
      <x:c r="E3" s="26"/>
      <x:c r="F3" s="26"/>
      <x:c r="G3" s="26"/>
      <x:c r="H3" s="26"/>
      <x:c r="I3" s="27"/>
      <x:c r="J3" s="27"/>
      <x:c r="K3" s="27"/>
      <x:c r="L3" s="27"/>
      <x:c r="M3" s="27"/>
      <x:c r="N3" s="27"/>
      <x:c r="O3" s="27"/>
      <x:c r="P3" s="27"/>
      <x:c r="Q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</x:row>
    <x:row r="5" ht="54" customHeight="1">
      <x:c r="A5" s="87" t="str">
        <x:v>Rank</x:v>
      </x:c>
      <x:c r="B5" s="88" t="str">
        <x:v>NACE</x:v>
      </x:c>
      <x:c r="C5" s="88" t="str">
        <x:v>Sector</x:v>
      </x:c>
      <x:c r="D5" s="88" t="str">
        <x:v>2025 operating profitability</x:v>
      </x:c>
      <x:c r="E5" s="88" t="str">
        <x:v>2025 profitable enterprises</x:v>
      </x:c>
      <x:c r="F5" s="88" t="str">
        <x:v>2022-24 real turnover CAGR</x:v>
      </x:c>
      <x:c r="G5" s="88" t="str">
        <x:v>GOS / latest investment</x:v>
      </x:c>
      <x:c r="H5" s="88" t="str">
        <x:v>Export / import substitution</x:v>
      </x:c>
      <x:c r="I5" s="88" t="str">
        <x:v>Structural demand</x:v>
      </x:c>
      <x:c r="J5" s="88" t="str">
        <x:v>Resilience / data confidence</x:v>
      </x:c>
      <x:c r="K5" s="88" t="str">
        <x:v>Profitability score</x:v>
      </x:c>
      <x:c r="L5" s="88" t="str">
        <x:v>Growth score</x:v>
      </x:c>
      <x:c r="M5" s="88" t="str">
        <x:v>Capital efficiency score</x:v>
      </x:c>
      <x:c r="N5" s="88" t="str">
        <x:v>Weighted score</x:v>
      </x:c>
      <x:c r="O5" s="88" t="str">
        <x:v>Official export anchor ($m)</x:v>
      </x:c>
      <x:c r="P5" s="88" t="str">
        <x:v>Evidence</x:v>
      </x:c>
      <x:c r="Q5" s="89" t="str">
        <x:v>Selected</x:v>
      </x:c>
    </x:row>
    <x:row r="6" ht="30" customHeight="1">
      <x:c r="A6" s="96" t="n">
        <x:v>1</x:v>
      </x:c>
      <x:c r="B6" s="97" t="str">
        <x:v>72</x:v>
      </x:c>
      <x:c r="C6" s="97" t="str">
        <x:v>Research and development</x:v>
      </x:c>
      <x:c r="D6" s="98" t="n">
        <x:v>0.195</x:v>
      </x:c>
      <x:c r="E6" s="98" t="n">
        <x:v>0.68</x:v>
      </x:c>
      <x:c r="F6" s="98" t="n">
        <x:v>0.17286715770057648</x:v>
      </x:c>
      <x:c r="G6" s="99" t="n">
        <x:v>5.114956354779443</x:v>
      </x:c>
      <x:c r="H6" s="100" t="n">
        <x:v>90</x:v>
      </x:c>
      <x:c r="I6" s="100" t="n">
        <x:v>94</x:v>
      </x:c>
      <x:c r="J6" s="100" t="n">
        <x:v>86</x:v>
      </x:c>
      <x:c r="K6" s="100" t="n">
        <x:f>MAX(0,MIN(100,((D6+5%)/35%*100)*70%+((E6-40%)/40%*100)*30%))</x:f>
        <x:v>70</x:v>
      </x:c>
      <x:c r="L6" s="100" t="n">
        <x:f>MAX(0,MIN(100,(F6+10%)/30%*100))</x:f>
        <x:v>90.95571923352549</x:v>
      </x:c>
      <x:c r="M6" s="100" t="n">
        <x:f>MAX(0,MIN(100,G6/2*100))</x:f>
        <x:v>100</x:v>
      </x:c>
      <x:c r="N6" s="100" t="n">
        <x:f>K6*20%+L6*20%+H6*15%+M6*15%+I6*15%+J6*15%</x:f>
        <x:v>87.6911438467051</x:v>
      </x:c>
      <x:c r="O6" s="101" t="n">
        <x:v>1254.6101999999998</x:v>
      </x:c>
      <x:c r="P6" s="91" t="str">
        <x:v>2022-25; inv. 2023</x:v>
      </x:c>
      <x:c r="Q6" s="102" t="str">
        <x:v>YES</x:v>
      </x:c>
    </x:row>
    <x:row r="7" ht="30" customHeight="1">
      <x:c r="A7" s="96" t="n">
        <x:v>2</x:v>
      </x:c>
      <x:c r="B7" s="97" t="str">
        <x:v>28</x:v>
      </x:c>
      <x:c r="C7" s="97" t="str">
        <x:v>Machinery and equipment</x:v>
      </x:c>
      <x:c r="D7" s="98" t="n">
        <x:v>0.172</x:v>
      </x:c>
      <x:c r="E7" s="98" t="n">
        <x:v>0.769</x:v>
      </x:c>
      <x:c r="F7" s="98" t="n">
        <x:v>0.28189321327153993</x:v>
      </x:c>
      <x:c r="G7" s="99" t="n">
        <x:v>9.878292500506504</x:v>
      </x:c>
      <x:c r="H7" s="100" t="n">
        <x:v>82</x:v>
      </x:c>
      <x:c r="I7" s="100" t="n">
        <x:v>88</x:v>
      </x:c>
      <x:c r="J7" s="100" t="n">
        <x:v>76</x:v>
      </x:c>
      <x:c r="K7" s="100" t="n">
        <x:f>MAX(0,MIN(100,((D7+5%)/35%*100)*70%+((E7-40%)/40%*100)*30%))</x:f>
        <x:v>72.07499999999999</x:v>
      </x:c>
      <x:c r="L7" s="100" t="n">
        <x:f>MAX(0,MIN(100,(F7+10%)/30%*100))</x:f>
        <x:v>100</x:v>
      </x:c>
      <x:c r="M7" s="100" t="n">
        <x:f>MAX(0,MIN(100,G7/2*100))</x:f>
        <x:v>100</x:v>
      </x:c>
      <x:c r="N7" s="100" t="n">
        <x:f>K7*20%+L7*20%+H7*15%+M7*15%+I7*15%+J7*15%</x:f>
        <x:v>86.315</x:v>
      </x:c>
      <x:c r="O7" s="101" t="n">
        <x:v>3142.9652</x:v>
      </x:c>
      <x:c r="P7" s="91" t="str">
        <x:v>2022-25; inv. 2023</x:v>
      </x:c>
      <x:c r="Q7" s="102" t="str"/>
    </x:row>
    <x:row r="8" ht="30" customHeight="1">
      <x:c r="A8" s="96" t="n">
        <x:v>3</x:v>
      </x:c>
      <x:c r="B8" s="97" t="str">
        <x:v>27</x:v>
      </x:c>
      <x:c r="C8" s="97" t="str">
        <x:v>Electrical equipment</x:v>
      </x:c>
      <x:c r="D8" s="98" t="n">
        <x:v>0.083</x:v>
      </x:c>
      <x:c r="E8" s="98" t="n">
        <x:v>0.741</x:v>
      </x:c>
      <x:c r="F8" s="98" t="n">
        <x:v>0.13588761441827324</x:v>
      </x:c>
      <x:c r="G8" s="99" t="n">
        <x:v>6.799698352874854</x:v>
      </x:c>
      <x:c r="H8" s="100" t="n">
        <x:v>86</x:v>
      </x:c>
      <x:c r="I8" s="100" t="n">
        <x:v>98</x:v>
      </x:c>
      <x:c r="J8" s="100" t="n">
        <x:v>82</x:v>
      </x:c>
      <x:c r="K8" s="100" t="n">
        <x:f>MAX(0,MIN(100,((D8+5%)/35%*100)*70%+((E8-40%)/40%*100)*30%))</x:f>
        <x:v>52.175</x:v>
      </x:c>
      <x:c r="L8" s="100" t="n">
        <x:f>MAX(0,MIN(100,(F8+10%)/30%*100))</x:f>
        <x:v>78.62920480609108</x:v>
      </x:c>
      <x:c r="M8" s="100" t="n">
        <x:f>MAX(0,MIN(100,G8/2*100))</x:f>
        <x:v>100</x:v>
      </x:c>
      <x:c r="N8" s="100" t="n">
        <x:f>K8*20%+L8*20%+H8*15%+M8*15%+I8*15%+J8*15%</x:f>
        <x:v>81.06084096121822</x:v>
      </x:c>
      <x:c r="O8" s="101" t="n">
        <x:v>3142.9652</x:v>
      </x:c>
      <x:c r="P8" s="91" t="str">
        <x:v>2022-25; inv. 2023</x:v>
      </x:c>
      <x:c r="Q8" s="102" t="str"/>
    </x:row>
    <x:row r="9" ht="30" customHeight="1">
      <x:c r="A9" s="96" t="n">
        <x:v>4</x:v>
      </x:c>
      <x:c r="B9" s="97" t="str">
        <x:v>23</x:v>
      </x:c>
      <x:c r="C9" s="97" t="str">
        <x:v>Construction materials</x:v>
      </x:c>
      <x:c r="D9" s="98" t="n">
        <x:v>0.106</x:v>
      </x:c>
      <x:c r="E9" s="98" t="n">
        <x:v>0.7090000000000001</x:v>
      </x:c>
      <x:c r="F9" s="98" t="n">
        <x:v>0.087076361553734</x:v>
      </x:c>
      <x:c r="G9" s="99" t="n">
        <x:v>4.2314487979326945</x:v>
      </x:c>
      <x:c r="H9" s="100" t="n">
        <x:v>74</x:v>
      </x:c>
      <x:c r="I9" s="100" t="n">
        <x:v>98</x:v>
      </x:c>
      <x:c r="J9" s="100" t="n">
        <x:v>80</x:v>
      </x:c>
      <x:c r="K9" s="100" t="n">
        <x:f>MAX(0,MIN(100,((D9+5%)/35%*100)*70%+((E9-40%)/40%*100)*30%))</x:f>
        <x:v>54.375</x:v>
      </x:c>
      <x:c r="L9" s="100" t="n">
        <x:f>MAX(0,MIN(100,(F9+10%)/30%*100))</x:f>
        <x:v>62.358787184578</x:v>
      </x:c>
      <x:c r="M9" s="100" t="n">
        <x:f>MAX(0,MIN(100,G9/2*100))</x:f>
        <x:v>100</x:v>
      </x:c>
      <x:c r="N9" s="100" t="n">
        <x:f>K9*20%+L9*20%+H9*15%+M9*15%+I9*15%+J9*15%</x:f>
        <x:v>76.1467574369156</x:v>
      </x:c>
      <x:c r="O9" s="101" t="n">
        <x:v>326.0387</x:v>
      </x:c>
      <x:c r="P9" s="91" t="str">
        <x:v>2022-25; inv. 2023</x:v>
      </x:c>
      <x:c r="Q9" s="102" t="str">
        <x:v>YES</x:v>
      </x:c>
    </x:row>
    <x:row r="10" ht="30" customHeight="1">
      <x:c r="A10" s="96" t="n">
        <x:v>5</x:v>
      </x:c>
      <x:c r="B10" s="97" t="str">
        <x:v>63</x:v>
      </x:c>
      <x:c r="C10" s="97" t="str">
        <x:v>Information services</x:v>
      </x:c>
      <x:c r="D10" s="98" t="n">
        <x:v>0.10800000000000001</x:v>
      </x:c>
      <x:c r="E10" s="98" t="n">
        <x:v>0.664</x:v>
      </x:c>
      <x:c r="F10" s="98" t="n">
        <x:v>0.024592021695223565</x:v>
      </x:c>
      <x:c r="G10" s="99" t="n">
        <x:v>26.85741759115931</x:v>
      </x:c>
      <x:c r="H10" s="100" t="n">
        <x:v>96</x:v>
      </x:c>
      <x:c r="I10" s="100" t="n">
        <x:v>88</x:v>
      </x:c>
      <x:c r="J10" s="100" t="n">
        <x:v>90</x:v>
      </x:c>
      <x:c r="K10" s="100" t="n">
        <x:f>MAX(0,MIN(100,((D10+5%)/35%*100)*70%+((E10-40%)/40%*100)*30%))</x:f>
        <x:v>51.400000000000006</x:v>
      </x:c>
      <x:c r="L10" s="100" t="n">
        <x:f>MAX(0,MIN(100,(F10+10%)/30%*100))</x:f>
        <x:v>41.53067389840786</x:v>
      </x:c>
      <x:c r="M10" s="100" t="n">
        <x:f>MAX(0,MIN(100,G10/2*100))</x:f>
        <x:v>100</x:v>
      </x:c>
      <x:c r="N10" s="100" t="n">
        <x:f>K10*20%+L10*20%+H10*15%+M10*15%+I10*15%+J10*15%</x:f>
        <x:v>74.68613477968157</x:v>
      </x:c>
      <x:c r="O10" s="101" t="n">
        <x:v>3786.3136</x:v>
      </x:c>
      <x:c r="P10" s="91" t="str">
        <x:v>2022-25; inv. 2023</x:v>
      </x:c>
      <x:c r="Q10" s="102" t="str"/>
    </x:row>
    <x:row r="11" ht="30" customHeight="1">
      <x:c r="A11" s="96" t="n">
        <x:v>6</x:v>
      </x:c>
      <x:c r="B11" s="97" t="str">
        <x:v>42</x:v>
      </x:c>
      <x:c r="C11" s="97" t="str">
        <x:v>Civil engineering</x:v>
      </x:c>
      <x:c r="D11" s="98" t="n">
        <x:v>0.035</x:v>
      </x:c>
      <x:c r="E11" s="98" t="n">
        <x:v>0.737</x:v>
      </x:c>
      <x:c r="F11" s="98" t="n">
        <x:v>0.12364470705442532</x:v>
      </x:c>
      <x:c r="G11" s="99" t="n">
        <x:v>8.184254148657374</x:v>
      </x:c>
      <x:c r="H11" s="100" t="n">
        <x:v>70</x:v>
      </x:c>
      <x:c r="I11" s="100" t="n">
        <x:v>96</x:v>
      </x:c>
      <x:c r="J11" s="100" t="n">
        <x:v>70</x:v>
      </x:c>
      <x:c r="K11" s="100" t="n">
        <x:f>MAX(0,MIN(100,((D11+5%)/35%*100)*70%+((E11-40%)/40%*100)*30%))</x:f>
        <x:v>42.27499999999999</x:v>
      </x:c>
      <x:c r="L11" s="100" t="n">
        <x:f>MAX(0,MIN(100,(F11+10%)/30%*100))</x:f>
        <x:v>74.54823568480845</x:v>
      </x:c>
      <x:c r="M11" s="100" t="n">
        <x:f>MAX(0,MIN(100,G11/2*100))</x:f>
        <x:v>100</x:v>
      </x:c>
      <x:c r="N11" s="100" t="n">
        <x:f>K11*20%+L11*20%+H11*15%+M11*15%+I11*15%+J11*15%</x:f>
        <x:v>73.76464713696168</x:v>
      </x:c>
      <x:c r="O11" s="101" t="n">
        <x:v>0</x:v>
      </x:c>
      <x:c r="P11" s="91" t="str">
        <x:v>2022-25; inv. 2023</x:v>
      </x:c>
      <x:c r="Q11" s="102" t="str"/>
    </x:row>
    <x:row r="12" ht="30" customHeight="1">
      <x:c r="A12" s="96" t="n">
        <x:v>7</x:v>
      </x:c>
      <x:c r="B12" s="97" t="str">
        <x:v>10</x:v>
      </x:c>
      <x:c r="C12" s="97" t="str">
        <x:v>Food manufacturing</x:v>
      </x:c>
      <x:c r="D12" s="98" t="n">
        <x:v>0.047</x:v>
      </x:c>
      <x:c r="E12" s="98" t="n">
        <x:v>0.731</x:v>
      </x:c>
      <x:c r="F12" s="98" t="n">
        <x:v>0.03090301001412099</x:v>
      </x:c>
      <x:c r="G12" s="99" t="n">
        <x:v>5.424406487948227</x:v>
      </x:c>
      <x:c r="H12" s="100" t="n">
        <x:v>90</x:v>
      </x:c>
      <x:c r="I12" s="100" t="n">
        <x:v>92</x:v>
      </x:c>
      <x:c r="J12" s="100" t="n">
        <x:v>84</x:v>
      </x:c>
      <x:c r="K12" s="100" t="n">
        <x:f>MAX(0,MIN(100,((D12+5%)/35%*100)*70%+((E12-40%)/40%*100)*30%))</x:f>
        <x:v>44.224999999999994</x:v>
      </x:c>
      <x:c r="L12" s="100" t="n">
        <x:f>MAX(0,MIN(100,(F12+10%)/30%*100))</x:f>
        <x:v>43.63433667137367</x:v>
      </x:c>
      <x:c r="M12" s="100" t="n">
        <x:f>MAX(0,MIN(100,G12/2*100))</x:f>
        <x:v>100</x:v>
      </x:c>
      <x:c r="N12" s="100" t="n">
        <x:f>K12*20%+L12*20%+H12*15%+M12*15%+I12*15%+J12*15%</x:f>
        <x:v>72.47186733427473</x:v>
      </x:c>
      <x:c r="O12" s="101" t="n">
        <x:v>9512.177800000001</x:v>
      </x:c>
      <x:c r="P12" s="91" t="str">
        <x:v>2022-25; inv. 2023</x:v>
      </x:c>
      <x:c r="Q12" s="102" t="str">
        <x:v>YES</x:v>
      </x:c>
    </x:row>
    <x:row r="13" ht="30" customHeight="1">
      <x:c r="A13" s="96" t="n">
        <x:v>8</x:v>
      </x:c>
      <x:c r="B13" s="97" t="str">
        <x:v>52</x:v>
      </x:c>
      <x:c r="C13" s="97" t="str">
        <x:v>Warehousing and transport support</x:v>
      </x:c>
      <x:c r="D13" s="98" t="n">
        <x:v>0.049</x:v>
      </x:c>
      <x:c r="E13" s="98" t="n">
        <x:v>0.6509999999999999</x:v>
      </x:c>
      <x:c r="F13" s="98" t="n">
        <x:v>-0.007644589499065435</x:v>
      </x:c>
      <x:c r="G13" s="99" t="n">
        <x:v>6.213941194432581</x:v>
      </x:c>
      <x:c r="H13" s="100" t="n">
        <x:v>88</x:v>
      </x:c>
      <x:c r="I13" s="100" t="n">
        <x:v>94</x:v>
      </x:c>
      <x:c r="J13" s="100" t="n">
        <x:v>82</x:v>
      </x:c>
      <x:c r="K13" s="100" t="n">
        <x:f>MAX(0,MIN(100,((D13+5%)/35%*100)*70%+((E13-40%)/40%*100)*30%))</x:f>
        <x:v>38.624999999999986</x:v>
      </x:c>
      <x:c r="L13" s="100" t="n">
        <x:f>MAX(0,MIN(100,(F13+10%)/30%*100))</x:f>
        <x:v>30.78513683364486</x:v>
      </x:c>
      <x:c r="M13" s="100" t="n">
        <x:f>MAX(0,MIN(100,G13/2*100))</x:f>
        <x:v>100</x:v>
      </x:c>
      <x:c r="N13" s="100" t="n">
        <x:f>K13*20%+L13*20%+H13*15%+M13*15%+I13*15%+J13*15%</x:f>
        <x:v>68.48202736672897</x:v>
      </x:c>
      <x:c r="O13" s="101" t="n">
        <x:v>3843.1207000000004</x:v>
      </x:c>
      <x:c r="P13" s="91" t="str">
        <x:v>2022-25; inv. 2023</x:v>
      </x:c>
      <x:c r="Q13" s="102" t="str"/>
    </x:row>
    <x:row r="14" ht="30" customHeight="1">
      <x:c r="A14" s="96" t="n">
        <x:v>9</x:v>
      </x:c>
      <x:c r="B14" s="97" t="str">
        <x:v>33</x:v>
      </x:c>
      <x:c r="C14" s="97" t="str">
        <x:v>Machinery repair and installation</x:v>
      </x:c>
      <x:c r="D14" s="98" t="n">
        <x:v>0.040999999999999995</x:v>
      </x:c>
      <x:c r="E14" s="98" t="n">
        <x:v>0.746</x:v>
      </x:c>
      <x:c r="F14" s="98" t="n">
        <x:v>0.021350658099800635</x:v>
      </x:c>
      <x:c r="G14" s="99" t="n">
        <x:v>11.619268582313122</x:v>
      </x:c>
      <x:c r="H14" s="100" t="n">
        <x:v>66</x:v>
      </x:c>
      <x:c r="I14" s="100" t="n">
        <x:v>85</x:v>
      </x:c>
      <x:c r="J14" s="100" t="n">
        <x:v>82</x:v>
      </x:c>
      <x:c r="K14" s="100" t="n">
        <x:f>MAX(0,MIN(100,((D14+5%)/35%*100)*70%+((E14-40%)/40%*100)*30%))</x:f>
        <x:v>44.14999999999999</x:v>
      </x:c>
      <x:c r="L14" s="100" t="n">
        <x:f>MAX(0,MIN(100,(F14+10%)/30%*100))</x:f>
        <x:v>40.450219366600216</x:v>
      </x:c>
      <x:c r="M14" s="100" t="n">
        <x:f>MAX(0,MIN(100,G14/2*100))</x:f>
        <x:v>100</x:v>
      </x:c>
      <x:c r="N14" s="100" t="n">
        <x:f>K14*20%+L14*20%+H14*15%+M14*15%+I14*15%+J14*15%</x:f>
        <x:v>66.87004387332004</x:v>
      </x:c>
      <x:c r="O14" s="101" t="n">
        <x:v>3142.9652</x:v>
      </x:c>
      <x:c r="P14" s="91" t="str">
        <x:v>2022-25; inv. 2023</x:v>
      </x:c>
      <x:c r="Q14" s="102" t="str"/>
    </x:row>
    <x:row r="15" ht="30" customHeight="1">
      <x:c r="A15" s="96" t="n">
        <x:v>10</x:v>
      </x:c>
      <x:c r="B15" s="97" t="str">
        <x:v>38</x:v>
      </x:c>
      <x:c r="C15" s="97" t="str">
        <x:v>Waste recovery and treatment</x:v>
      </x:c>
      <x:c r="D15" s="98" t="n">
        <x:v>-0.002</x:v>
      </x:c>
      <x:c r="E15" s="98" t="n">
        <x:v>0.677</x:v>
      </x:c>
      <x:c r="F15" s="98" t="n">
        <x:v>0.0726970446876476</x:v>
      </x:c>
      <x:c r="G15" s="99" t="n">
        <x:v>1.440521784633019</x:v>
      </x:c>
      <x:c r="H15" s="100" t="n">
        <x:v>82</x:v>
      </x:c>
      <x:c r="I15" s="100" t="n">
        <x:v>92</x:v>
      </x:c>
      <x:c r="J15" s="100" t="n">
        <x:v>82</x:v>
      </x:c>
      <x:c r="K15" s="100" t="n">
        <x:f>MAX(0,MIN(100,((D15+5%)/35%*100)*70%+((E15-40%)/40%*100)*30%))</x:f>
        <x:v>30.375</x:v>
      </x:c>
      <x:c r="L15" s="100" t="n">
        <x:f>MAX(0,MIN(100,(F15+10%)/30%*100))</x:f>
        <x:v>57.5656815625492</x:v>
      </x:c>
      <x:c r="M15" s="100" t="n">
        <x:f>MAX(0,MIN(100,G15/2*100))</x:f>
        <x:v>72.02608923165094</x:v>
      </x:c>
      <x:c r="N15" s="100" t="n">
        <x:f>K15*20%+L15*20%+H15*15%+M15*15%+I15*15%+J15*15%</x:f>
        <x:v>66.79204969725748</x:v>
      </x:c>
      <x:c r="O15" s="101" t="n">
        <x:v>0</x:v>
      </x:c>
      <x:c r="P15" s="91" t="str">
        <x:v>2022-25; inv. 2023</x:v>
      </x:c>
      <x:c r="Q15" s="102" t="str"/>
    </x:row>
    <x:row r="16" ht="30" customHeight="1">
      <x:c r="A16" s="96" t="n">
        <x:v>11</x:v>
      </x:c>
      <x:c r="B16" s="97" t="str">
        <x:v>35</x:v>
      </x:c>
      <x:c r="C16" s="97" t="str">
        <x:v>Electricity and energy supply</x:v>
      </x:c>
      <x:c r="D16" s="98" t="n">
        <x:v>0.037000000000000005</x:v>
      </x:c>
      <x:c r="E16" s="98" t="n">
        <x:v>0.546</x:v>
      </x:c>
      <x:c r="F16" s="98" t="n">
        <x:v>-0.042956959099343606</x:v>
      </x:c>
      <x:c r="G16" s="99" t="n">
        <x:v>4.236400704139367</x:v>
      </x:c>
      <x:c r="H16" s="100" t="n">
        <x:v>95</x:v>
      </x:c>
      <x:c r="I16" s="100" t="n">
        <x:v>100</x:v>
      </x:c>
      <x:c r="J16" s="100" t="n">
        <x:v>76</x:v>
      </x:c>
      <x:c r="K16" s="100" t="n">
        <x:f>MAX(0,MIN(100,((D16+5%)/35%*100)*70%+((E16-40%)/40%*100)*30%))</x:f>
        <x:v>28.35</x:v>
      </x:c>
      <x:c r="L16" s="100" t="n">
        <x:f>MAX(0,MIN(100,(F16+10%)/30%*100))</x:f>
        <x:v>19.01434696688547</x:v>
      </x:c>
      <x:c r="M16" s="100" t="n">
        <x:f>MAX(0,MIN(100,G16/2*100))</x:f>
        <x:v>100</x:v>
      </x:c>
      <x:c r="N16" s="100" t="n">
        <x:f>K16*20%+L16*20%+H16*15%+M16*15%+I16*15%+J16*15%</x:f>
        <x:v>65.1228693933771</x:v>
      </x:c>
      <x:c r="O16" s="101" t="n">
        <x:v>0</x:v>
      </x:c>
      <x:c r="P16" s="91" t="str">
        <x:v>2022-25; inv. 2023</x:v>
      </x:c>
      <x:c r="Q16" s="102" t="str">
        <x:v>YES</x:v>
      </x:c>
    </x:row>
    <x:row r="17" ht="30" customHeight="1">
      <x:c r="A17" s="103" t="n">
        <x:v>12</x:v>
      </x:c>
      <x:c r="B17" s="104" t="str">
        <x:v>62</x:v>
      </x:c>
      <x:c r="C17" s="104" t="str">
        <x:v>Computer programming and consultancy</x:v>
      </x:c>
      <x:c r="D17" s="105" t="n">
        <x:v>0.10800000000000001</x:v>
      </x:c>
      <x:c r="E17" s="105" t="n">
        <x:v>0.687</x:v>
      </x:c>
      <x:c r="F17" s="105" t="n">
        <x:v>0.0016613360177439862</x:v>
      </x:c>
      <x:c r="G17" s="106"/>
      <x:c r="H17" s="107" t="n">
        <x:v>100</x:v>
      </x:c>
      <x:c r="I17" s="107" t="n">
        <x:v>92</x:v>
      </x:c>
      <x:c r="J17" s="107" t="n">
        <x:v>92</x:v>
      </x:c>
      <x:c r="K17" s="107" t="n">
        <x:f>MAX(0,MIN(100,((D17+5%)/35%*100)*70%+((E17-40%)/40%*100)*30%))</x:f>
        <x:v>53.12500000000001</x:v>
      </x:c>
      <x:c r="L17" s="107" t="n">
        <x:f>MAX(0,MIN(100,(F17+10%)/30%*100))</x:f>
        <x:v>33.887112005914666</x:v>
      </x:c>
      <x:c r="M17" s="107" t="n">
        <x:f>MAX(0,MIN(100,G17/2*100))</x:f>
        <x:v>0</x:v>
      </x:c>
      <x:c r="N17" s="107" t="n">
        <x:f>K17*20%+L17*20%+H17*15%+M17*15%+I17*15%+J17*15%</x:f>
        <x:v>60.002422401182926</x:v>
      </x:c>
      <x:c r="O17" s="108" t="n">
        <x:v>3786.3136</x:v>
      </x:c>
      <x:c r="P17" s="94" t="str">
        <x:v>2022-25; inv. 2023</x:v>
      </x:c>
      <x:c r="Q17" s="109" t="str"/>
    </x:row>
  </x:sheetData>
  <x:mergeCells>
    <x:mergeCell ref="A1:Q2"/>
    <x:mergeCell ref="A3:H3"/>
  </x:mergeCells>
  <x:conditionalFormatting sqref="Q6:Q17">
    <x:cfRule type="containsText" dxfId="0" priority="1" operator="containsText" text="YES"/>
  </x:conditionalFormatting>
  <x:conditionalFormatting sqref="N6:N17">
    <x:cfRule type="colorScale" priority="2">
      <x:colorScale>
        <x:cfvo type="min"/>
        <x:cfvo type="percentile" val="50"/>
        <x:cfvo type="max"/>
        <x:color rgb="FFFCE8E6"/>
        <x:color rgb="FFFFF2CC"/>
        <x:color rgb="FFD9EAD3"/>
      </x:colorScale>
    </x:cfRule>
  </x:conditionalFormatting>
  <x:pageMargins left="0.7" right="0.7" top="0.75" bottom="0.75" header="0.3" footer="0.3"/>
  <x:legacyDrawing xmlns:r="http://schemas.openxmlformats.org/officeDocument/2006/relationships" r:id="R974473155f6c494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38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11" hidden="0" customWidth="1"/>
    <x:col min="16" max="16" width="12" hidden="0" customWidth="1"/>
  </x:cols>
  <x:sheetData>
    <x:row r="1">
      <x:c r="A1" s="25" t="str">
        <x:v>Opportunity &amp; Macro Assumptions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Blue cells are editable analyst assumptions. Sector scores are linked to the official-data screen in green.</x:v>
      </x:c>
      <x:c r="B3" s="26"/>
      <x:c r="C3" s="26"/>
      <x:c r="D3" s="26"/>
      <x:c r="E3" s="26"/>
      <x:c r="F3" s="26"/>
      <x:c r="G3" s="26"/>
      <x:c r="H3" s="26"/>
      <x:c r="I3" s="27"/>
      <x:c r="J3" s="27"/>
      <x:c r="K3" s="27"/>
      <x:c r="L3" s="27"/>
      <x:c r="M3" s="27"/>
      <x:c r="N3" s="27"/>
      <x:c r="O3" s="27"/>
      <x:c r="P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A5" s="28" t="str">
        <x:v>ID</x:v>
      </x:c>
      <x:c r="B5" s="28" t="str">
        <x:v>NACE</x:v>
      </x:c>
      <x:c r="C5" s="28" t="str">
        <x:v>Opportunity</x:v>
      </x:c>
      <x:c r="D5" s="28" t="str">
        <x:v>Allocation ($m)</x:v>
      </x:c>
      <x:c r="E5" s="28" t="str">
        <x:v>Sector score</x:v>
      </x:c>
      <x:c r="F5" s="28" t="str">
        <x:v>Year 1 revenue / capital</x:v>
      </x:c>
      <x:c r="G5" s="28" t="str">
        <x:v>Real volume growth</x:v>
      </x:c>
      <x:c r="H5" s="28" t="str">
        <x:v>Export share</x:v>
      </x:c>
      <x:c r="I5" s="28" t="str">
        <x:v>Export demand growth</x:v>
      </x:c>
      <x:c r="J5" s="28" t="str">
        <x:v>Price pass-through</x:v>
      </x:c>
      <x:c r="K5" s="28" t="str">
        <x:v>Initial EBITDA margin</x:v>
      </x:c>
      <x:c r="L5" s="28" t="str">
        <x:v>Target EBITDA margin</x:v>
      </x:c>
      <x:c r="M5" s="28" t="str">
        <x:v>D&amp;A / revenue</x:v>
      </x:c>
      <x:c r="N5" s="28" t="str">
        <x:v>Capex / revenue</x:v>
      </x:c>
      <x:c r="O5" s="28" t="str">
        <x:v>NWC / revenue</x:v>
      </x:c>
      <x:c r="P5" s="28" t="str">
        <x:v>Exit EBITDA multiple</x:v>
      </x:c>
    </x:row>
    <x:row r="6">
      <x:c r="A6" s="27" t="str">
        <x:v>DUALUSE</x:v>
      </x:c>
      <x:c r="B6" s="27" t="str">
        <x:v>72</x:v>
      </x:c>
      <x:c r="C6" s="27" t="str">
        <x:v>Civilian dual-use sensing &amp; autonomy platform</x:v>
      </x:c>
      <x:c r="D6" s="110" t="n">
        <x:v>3</x:v>
      </x:c>
      <x:c r="E6" s="111" t="n">
        <x:f>'Sector Screen'!N6</x:f>
        <x:v>87.6911438467051</x:v>
      </x:c>
      <x:c r="F6" s="112" t="n">
        <x:v>0.95</x:v>
      </x:c>
      <x:c r="G6" s="113" t="n">
        <x:v>0.085</x:v>
      </x:c>
      <x:c r="H6" s="113" t="n">
        <x:v>0.72</x:v>
      </x:c>
      <x:c r="I6" s="113" t="n">
        <x:v>0.085</x:v>
      </x:c>
      <x:c r="J6" s="113" t="n">
        <x:v>0.35</x:v>
      </x:c>
      <x:c r="K6" s="113" t="n">
        <x:v>0.13</x:v>
      </x:c>
      <x:c r="L6" s="113" t="n">
        <x:v>0.29</x:v>
      </x:c>
      <x:c r="M6" s="113" t="n">
        <x:v>0.025</x:v>
      </x:c>
      <x:c r="N6" s="113" t="n">
        <x:v>0.045</x:v>
      </x:c>
      <x:c r="O6" s="113" t="n">
        <x:v>0.09</x:v>
      </x:c>
      <x:c r="P6" s="114" t="n">
        <x:v>7</x:v>
      </x:c>
    </x:row>
    <x:row r="7">
      <x:c r="A7" s="27" t="str">
        <x:v>AGRO</x:v>
      </x:c>
      <x:c r="B7" s="27" t="str">
        <x:v>10</x:v>
      </x:c>
      <x:c r="C7" s="27" t="str">
        <x:v>Soy/protein processing &amp; traceable ingredients</x:v>
      </x:c>
      <x:c r="D7" s="110" t="n">
        <x:v>3</x:v>
      </x:c>
      <x:c r="E7" s="111" t="n">
        <x:f>'Sector Screen'!N12</x:f>
        <x:v>72.47186733427473</x:v>
      </x:c>
      <x:c r="F7" s="112" t="n">
        <x:v>1.8</x:v>
      </x:c>
      <x:c r="G7" s="113" t="n">
        <x:v>0.05</x:v>
      </x:c>
      <x:c r="H7" s="113" t="n">
        <x:v>0.65</x:v>
      </x:c>
      <x:c r="I7" s="113" t="n">
        <x:v>0.045</x:v>
      </x:c>
      <x:c r="J7" s="113" t="n">
        <x:v>0.75</x:v>
      </x:c>
      <x:c r="K7" s="113" t="n">
        <x:v>0.12</x:v>
      </x:c>
      <x:c r="L7" s="113" t="n">
        <x:v>0.18</x:v>
      </x:c>
      <x:c r="M7" s="113" t="n">
        <x:v>0.035</x:v>
      </x:c>
      <x:c r="N7" s="113" t="n">
        <x:v>0.045</x:v>
      </x:c>
      <x:c r="O7" s="113" t="n">
        <x:v>0.15</x:v>
      </x:c>
      <x:c r="P7" s="114" t="n">
        <x:v>5</x:v>
      </x:c>
    </x:row>
    <x:row r="8">
      <x:c r="A8" s="27" t="str">
        <x:v>MATERIALS</x:v>
      </x:c>
      <x:c r="B8" s="27" t="str">
        <x:v>23</x:v>
      </x:c>
      <x:c r="C8" s="27" t="str">
        <x:v>Low-carbon construction materials plant</x:v>
      </x:c>
      <x:c r="D8" s="110" t="n">
        <x:v>1.5</x:v>
      </x:c>
      <x:c r="E8" s="111" t="n">
        <x:f>'Sector Screen'!N9</x:f>
        <x:v>76.1467574369156</x:v>
      </x:c>
      <x:c r="F8" s="112" t="n">
        <x:v>1.4</x:v>
      </x:c>
      <x:c r="G8" s="113" t="n">
        <x:v>0.075</x:v>
      </x:c>
      <x:c r="H8" s="113" t="n">
        <x:v>0.08</x:v>
      </x:c>
      <x:c r="I8" s="113" t="n">
        <x:v>0.025</x:v>
      </x:c>
      <x:c r="J8" s="113" t="n">
        <x:v>0.85</x:v>
      </x:c>
      <x:c r="K8" s="113" t="n">
        <x:v>0.16</x:v>
      </x:c>
      <x:c r="L8" s="113" t="n">
        <x:v>0.22</x:v>
      </x:c>
      <x:c r="M8" s="113" t="n">
        <x:v>0.045</x:v>
      </x:c>
      <x:c r="N8" s="113" t="n">
        <x:v>0.055</x:v>
      </x:c>
      <x:c r="O8" s="113" t="n">
        <x:v>0.12</x:v>
      </x:c>
      <x:c r="P8" s="114" t="n">
        <x:v>5</x:v>
      </x:c>
    </x:row>
    <x:row r="9">
      <x:c r="A9" s="27" t="str">
        <x:v>ENERGY</x:v>
      </x:c>
      <x:c r="B9" s="27" t="str">
        <x:v>35</x:v>
      </x:c>
      <x:c r="C9" s="27" t="str">
        <x:v>Distributed industrial power &amp; storage SPV</x:v>
      </x:c>
      <x:c r="D9" s="110" t="n">
        <x:v>1.5</x:v>
      </x:c>
      <x:c r="E9" s="111" t="n">
        <x:f>'Sector Screen'!N16</x:f>
        <x:v>65.1228693933771</x:v>
      </x:c>
      <x:c r="F9" s="112" t="n">
        <x:v>0.6</x:v>
      </x:c>
      <x:c r="G9" s="113" t="n">
        <x:v>0.065</x:v>
      </x:c>
      <x:c r="H9" s="113" t="n">
        <x:v>0</x:v>
      </x:c>
      <x:c r="I9" s="113" t="n">
        <x:v>0</x:v>
      </x:c>
      <x:c r="J9" s="113" t="n">
        <x:v>0.95</x:v>
      </x:c>
      <x:c r="K9" s="113" t="n">
        <x:v>0.35</x:v>
      </x:c>
      <x:c r="L9" s="113" t="n">
        <x:v>0.42</x:v>
      </x:c>
      <x:c r="M9" s="113" t="n">
        <x:v>0.1</x:v>
      </x:c>
      <x:c r="N9" s="113" t="n">
        <x:v>0.055</x:v>
      </x:c>
      <x:c r="O9" s="113" t="n">
        <x:v>0.035</x:v>
      </x:c>
      <x:c r="P9" s="114" t="n">
        <x:v>6</x:v>
      </x:c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</x:row>
    <x:row r="12">
      <x:c r="A12" s="32" t="str">
        <x:v>Scenario assumptions</x:v>
      </x:c>
      <x:c r="B12" s="32"/>
      <x:c r="C12" s="32"/>
      <x:c r="D12" s="32"/>
      <x:c r="E12" s="32"/>
      <x:c r="F12" s="32"/>
      <x:c r="G12" s="32"/>
      <x:c r="H12" s="32"/>
      <x:c r="I12" s="27"/>
      <x:c r="J12" s="27"/>
      <x:c r="K12" s="27"/>
      <x:c r="L12" s="27"/>
      <x:c r="M12" s="27"/>
      <x:c r="N12" s="27"/>
      <x:c r="O12" s="27"/>
      <x:c r="P12" s="27"/>
    </x:row>
    <x:row r="13">
      <x:c r="A13" s="28" t="str">
        <x:v>Scenario</x:v>
      </x:c>
      <x:c r="B13" s="28" t="str">
        <x:v>Probability</x:v>
      </x:c>
      <x:c r="C13" s="28" t="str">
        <x:v>Year 1 revenue factor</x:v>
      </x:c>
      <x:c r="D13" s="28" t="str">
        <x:v>Growth delta</x:v>
      </x:c>
      <x:c r="E13" s="28" t="str">
        <x:v>Margin delta</x:v>
      </x:c>
      <x:c r="F13" s="28" t="str">
        <x:v>Exit factor</x:v>
      </x:c>
      <x:c r="G13" s="28" t="str">
        <x:v>FX depreciation delta</x:v>
      </x:c>
      <x:c r="H13" s="28" t="str">
        <x:v>Retention years</x:v>
      </x:c>
      <x:c r="I13" s="27"/>
      <x:c r="J13" s="27"/>
      <x:c r="K13" s="27"/>
      <x:c r="L13" s="27"/>
      <x:c r="M13" s="27"/>
      <x:c r="N13" s="27"/>
      <x:c r="O13" s="27"/>
      <x:c r="P13" s="27"/>
    </x:row>
    <x:row r="14">
      <x:c r="A14" s="27" t="str">
        <x:v>Downside</x:v>
      </x:c>
      <x:c r="B14" s="115" t="n">
        <x:v>0.25</x:v>
      </x:c>
      <x:c r="C14" s="112" t="n">
        <x:v>0.75</x:v>
      </x:c>
      <x:c r="D14" s="113" t="n">
        <x:v>-0.06</x:v>
      </x:c>
      <x:c r="E14" s="113" t="n">
        <x:v>-0.06</x:v>
      </x:c>
      <x:c r="F14" s="112" t="n">
        <x:v>0.55</x:v>
      </x:c>
      <x:c r="G14" s="113" t="n">
        <x:v>0.05</x:v>
      </x:c>
      <x:c r="H14" s="116" t="n">
        <x:v>3</x:v>
      </x:c>
      <x:c r="I14" s="27"/>
      <x:c r="J14" s="27"/>
      <x:c r="K14" s="27"/>
      <x:c r="L14" s="27"/>
      <x:c r="M14" s="27"/>
      <x:c r="N14" s="27"/>
      <x:c r="O14" s="27"/>
      <x:c r="P14" s="27"/>
    </x:row>
    <x:row r="15">
      <x:c r="A15" s="27" t="str">
        <x:v>Base</x:v>
      </x:c>
      <x:c r="B15" s="115" t="n">
        <x:v>0.5</x:v>
      </x:c>
      <x:c r="C15" s="112" t="n">
        <x:v>1</x:v>
      </x:c>
      <x:c r="D15" s="113" t="n">
        <x:v>0</x:v>
      </x:c>
      <x:c r="E15" s="113" t="n">
        <x:v>0</x:v>
      </x:c>
      <x:c r="F15" s="112" t="n">
        <x:v>1</x:v>
      </x:c>
      <x:c r="G15" s="113" t="n">
        <x:v>0</x:v>
      </x:c>
      <x:c r="H15" s="116" t="n">
        <x:v>2</x:v>
      </x:c>
      <x:c r="I15" s="27"/>
      <x:c r="J15" s="27"/>
      <x:c r="K15" s="27"/>
      <x:c r="L15" s="27"/>
      <x:c r="M15" s="27"/>
      <x:c r="N15" s="27"/>
      <x:c r="O15" s="27"/>
      <x:c r="P15" s="27"/>
    </x:row>
    <x:row r="16">
      <x:c r="A16" s="27" t="str">
        <x:v>Upside</x:v>
      </x:c>
      <x:c r="B16" s="115" t="n">
        <x:v>0.25</x:v>
      </x:c>
      <x:c r="C16" s="112" t="n">
        <x:v>1.12</x:v>
      </x:c>
      <x:c r="D16" s="113" t="n">
        <x:v>0.045</x:v>
      </x:c>
      <x:c r="E16" s="113" t="n">
        <x:v>0.035</x:v>
      </x:c>
      <x:c r="F16" s="112" t="n">
        <x:v>1.28</x:v>
      </x:c>
      <x:c r="G16" s="113" t="n">
        <x:v>-0.025</x:v>
      </x:c>
      <x:c r="H16" s="116" t="n">
        <x:v>1</x:v>
      </x:c>
      <x:c r="I16" s="27"/>
      <x:c r="J16" s="27"/>
      <x:c r="K16" s="27"/>
      <x:c r="L16" s="27"/>
      <x:c r="M16" s="27"/>
      <x:c r="N16" s="27"/>
      <x:c r="O16" s="27"/>
      <x:c r="P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</x:row>
    <x:row r="19">
      <x:c r="A19" s="28" t="str">
        <x:v>Forecast year</x:v>
      </x:c>
      <x:c r="B19" s="28" t="str">
        <x:v>Inflation</x:v>
      </x:c>
      <x:c r="C19" s="28" t="str">
        <x:v>FX depreciation</x:v>
      </x:c>
      <x:c r="D19" s="28" t="str">
        <x:v>Corporate tax</x:v>
      </x:c>
      <x:c r="E19" s="28" t="str">
        <x:v>USD hurdle</x:v>
      </x:c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</x:row>
    <x:row r="20">
      <x:c r="A20" s="27" t="n">
        <x:v>2026</x:v>
      </x:c>
      <x:c r="B20" s="113" t="n">
        <x:v>0.075</x:v>
      </x:c>
      <x:c r="C20" s="113" t="n">
        <x:v>0.07</x:v>
      </x:c>
      <x:c r="D20" s="113" t="n">
        <x:v>0.18</x:v>
      </x:c>
      <x:c r="E20" s="113" t="n">
        <x:v>0.2</x:v>
      </x:c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</x:row>
    <x:row r="21">
      <x:c r="A21" s="27" t="n">
        <x:v>2027</x:v>
      </x:c>
      <x:c r="B21" s="113" t="n">
        <x:v>0.06</x:v>
      </x:c>
      <x:c r="C21" s="113" t="n">
        <x:v>0.06</x:v>
      </x:c>
      <x:c r="D21" s="113" t="n">
        <x:v>0.18</x:v>
      </x:c>
      <x:c r="E21" s="113" t="n">
        <x:v>0.2</x:v>
      </x:c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</x:row>
    <x:row r="22">
      <x:c r="A22" s="27" t="n">
        <x:v>2028</x:v>
      </x:c>
      <x:c r="B22" s="113" t="n">
        <x:v>0.05</x:v>
      </x:c>
      <x:c r="C22" s="113" t="n">
        <x:v>0.05</x:v>
      </x:c>
      <x:c r="D22" s="113" t="n">
        <x:v>0.18</x:v>
      </x:c>
      <x:c r="E22" s="113" t="n">
        <x:v>0.2</x:v>
      </x:c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</x:row>
    <x:row r="23">
      <x:c r="A23" s="27" t="n">
        <x:v>2029</x:v>
      </x:c>
      <x:c r="B23" s="113" t="n">
        <x:v>0.05</x:v>
      </x:c>
      <x:c r="C23" s="113" t="n">
        <x:v>0.05</x:v>
      </x:c>
      <x:c r="D23" s="113" t="n">
        <x:v>0.18</x:v>
      </x:c>
      <x:c r="E23" s="113" t="n">
        <x:v>0.2</x:v>
      </x:c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</x:row>
    <x:row r="24">
      <x:c r="A24" s="27" t="n">
        <x:v>2030</x:v>
      </x:c>
      <x:c r="B24" s="113" t="n">
        <x:v>0.05</x:v>
      </x:c>
      <x:c r="C24" s="113" t="n">
        <x:v>0.05</x:v>
      </x:c>
      <x:c r="D24" s="113" t="n">
        <x:v>0.18</x:v>
      </x:c>
      <x:c r="E24" s="113" t="n">
        <x:v>0.2</x:v>
      </x:c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</x:row>
    <x:row r="25">
      <x:c r="A25" s="27" t="n">
        <x:v>2031</x:v>
      </x:c>
      <x:c r="B25" s="113" t="n">
        <x:v>0.05</x:v>
      </x:c>
      <x:c r="C25" s="113" t="n">
        <x:v>0.05</x:v>
      </x:c>
      <x:c r="D25" s="113" t="n">
        <x:v>0.18</x:v>
      </x:c>
      <x:c r="E25" s="113" t="n">
        <x:v>0.2</x:v>
      </x:c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</x:row>
    <x:row r="26">
      <x:c r="A26" s="27" t="n">
        <x:v>2032</x:v>
      </x:c>
      <x:c r="B26" s="113" t="n">
        <x:v>0.05</x:v>
      </x:c>
      <x:c r="C26" s="113" t="n">
        <x:v>0.05</x:v>
      </x:c>
      <x:c r="D26" s="113" t="n">
        <x:v>0.18</x:v>
      </x:c>
      <x:c r="E26" s="113" t="n">
        <x:v>0.2</x:v>
      </x:c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</x:row>
    <x:row r="27">
      <x:c r="A27" s="27" t="n">
        <x:v>2033</x:v>
      </x:c>
      <x:c r="B27" s="113" t="n">
        <x:v>0.05</x:v>
      </x:c>
      <x:c r="C27" s="113" t="n">
        <x:v>0.05</x:v>
      </x:c>
      <x:c r="D27" s="113" t="n">
        <x:v>0.18</x:v>
      </x:c>
      <x:c r="E27" s="113" t="n">
        <x:v>0.2</x:v>
      </x:c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</x:row>
    <x:row r="28">
      <x:c r="A28" s="27" t="n">
        <x:v>2034</x:v>
      </x:c>
      <x:c r="B28" s="113" t="n">
        <x:v>0.05</x:v>
      </x:c>
      <x:c r="C28" s="113" t="n">
        <x:v>0.05</x:v>
      </x:c>
      <x:c r="D28" s="113" t="n">
        <x:v>0.18</x:v>
      </x:c>
      <x:c r="E28" s="113" t="n">
        <x:v>0.2</x:v>
      </x:c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</x:row>
    <x:row r="29">
      <x:c r="A29" s="27" t="n">
        <x:v>2035</x:v>
      </x:c>
      <x:c r="B29" s="113" t="n">
        <x:v>0.05</x:v>
      </x:c>
      <x:c r="C29" s="113" t="n">
        <x:v>0.05</x:v>
      </x:c>
      <x:c r="D29" s="113" t="n">
        <x:v>0.18</x:v>
      </x:c>
      <x:c r="E29" s="113" t="n">
        <x:v>0.2</x:v>
      </x:c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</x:row>
    <x:row r="32">
      <x:c r="A32" s="28" t="str">
        <x:v>Opportunity</x:v>
      </x:c>
      <x:c r="B32" s="28" t="str">
        <x:v>Target profile</x:v>
      </x:c>
      <x:c r="C32" s="28" t="str">
        <x:v>Safer-region location</x:v>
      </x:c>
      <x:c r="D32" s="28" t="str">
        <x:v>Structure</x:v>
      </x:c>
      <x:c r="E32" s="28" t="str">
        <x:v>Use of funds</x:v>
      </x:c>
      <x:c r="F32" s="28" t="str">
        <x:v>Milestones</x:v>
      </x:c>
      <x:c r="G32" s="28" t="str">
        <x:v>Downside control</x:v>
      </x:c>
      <x:c r="H32" s="28" t="str">
        <x:v>Exit route</x:v>
      </x:c>
      <x:c r="I32" s="27"/>
      <x:c r="J32" s="27"/>
      <x:c r="K32" s="27"/>
      <x:c r="L32" s="27"/>
      <x:c r="M32" s="27"/>
      <x:c r="N32" s="27"/>
      <x:c r="O32" s="27"/>
      <x:c r="P32" s="27"/>
    </x:row>
    <x:row r="33" ht="105" customHeight="1">
      <x:c r="A33" s="35" t="str">
        <x:v>Civilian dual-use sensing &amp; autonomy platform</x:v>
      </x:c>
      <x:c r="B33" s="35" t="str">
        <x:v>Profitable Ukrainian R&amp;D business developing drones, sensors and autonomy software for infrastructure inspection, agriculture, mapping and industrial safety; no weapons activity.</x:v>
      </x:c>
      <x:c r="C33" s="35" t="str">
        <x:v>Kyiv/Lviv/Ivano-Frankivsk engineering hubs; export-led and nationally scalable</x:v>
      </x:c>
      <x:c r="D33" s="35" t="str">
        <x:v>Preferred equity; board seat; founder vesting; IP assignment; civilian-revenue covenant</x:v>
      </x:c>
      <x:c r="E33" s="35" t="str">
        <x:v>Product certification, localized components, EU sales, test equipment and selective tuck-ins</x:v>
      </x:c>
      <x:c r="F33" s="35" t="str">
        <x:v>60%+ civilian hard-currency revenue; EBITDA margin &gt;20%; two EU channel partners</x:v>
      </x:c>
      <x:c r="G33" s="35" t="str">
        <x:v>Tranched funding, IP security, end-use compliance, key-person insurance, civilian revenue floor</x:v>
      </x:c>
      <x:c r="H33" s="35" t="str">
        <x:v>Strategic sale to European industrial-technology, inspection or autonomy platform</x:v>
      </x:c>
      <x:c r="I33" s="27"/>
      <x:c r="J33" s="27"/>
      <x:c r="K33" s="27"/>
      <x:c r="L33" s="27"/>
      <x:c r="M33" s="27"/>
      <x:c r="N33" s="27"/>
      <x:c r="O33" s="27"/>
      <x:c r="P33" s="27"/>
    </x:row>
    <x:row r="34" ht="105" customHeight="1">
      <x:c r="A34" s="35" t="str">
        <x:v>Soy/protein processing &amp; traceable ingredients</x:v>
      </x:c>
      <x:c r="B34" s="35" t="str">
        <x:v>Mid-sized crusher/extruder producing high-protein meal, food ingredients and oil from traceable Ukrainian crops for EU buyers.</x:v>
      </x:c>
      <x:c r="C34" s="35" t="str">
        <x:v>Vinnytsia, Khmelnytskyi, Ternopil or Lviv oblast</x:v>
      </x:c>
      <x:c r="D34" s="35" t="str">
        <x:v>Preferred growth equity; feedstock/off-take conditions precedent; inventory controls</x:v>
      </x:c>
      <x:c r="E34" s="35" t="str">
        <x:v>Processing line, storage, quality lab, energy resilience and working capital</x:v>
      </x:c>
      <x:c r="F34" s="35" t="str">
        <x:v>Secure 70% feedstock; EU traceability compliance; contracted export channel</x:v>
      </x:c>
      <x:c r="G34" s="35" t="str">
        <x:v>Borrowing-base controls, hedged/contracted feedstock, equipment collateral</x:v>
      </x:c>
      <x:c r="H34" s="35" t="str">
        <x:v>Sale to regional agribusiness or food-ingredient consolidator</x:v>
      </x:c>
      <x:c r="I34" s="27"/>
      <x:c r="J34" s="27"/>
      <x:c r="K34" s="27"/>
      <x:c r="L34" s="27"/>
      <x:c r="M34" s="27"/>
      <x:c r="N34" s="27"/>
      <x:c r="O34" s="27"/>
      <x:c r="P34" s="27"/>
    </x:row>
    <x:row r="35" ht="105" customHeight="1">
      <x:c r="A35" s="35" t="str">
        <x:v>Low-carbon construction materials plant</x:v>
      </x:c>
      <x:c r="B35" s="35" t="str">
        <x:v>Expansion of a western/central Ukrainian producer of dry mixes, insulation, precast components or recycled aggregate with reconstruction contracts.</x:v>
      </x:c>
      <x:c r="C35" s="35" t="str">
        <x:v>Lviv, Rivne, Zhytomyr, Vinnytsia or Khmelnytskyi oblast</x:v>
      </x:c>
      <x:c r="D35" s="35" t="str">
        <x:v>Preferred equity with equipment security, procurement controls and customer concentration limits</x:v>
      </x:c>
      <x:c r="E35" s="35" t="str">
        <x:v>Modern line, heat/power resilience, molds, recycled feedstock and working capital</x:v>
      </x:c>
      <x:c r="F35" s="35" t="str">
        <x:v>Two anchor contractors; 65% utilization; product certification; positive unit margins</x:v>
      </x:c>
      <x:c r="G35" s="35" t="str">
        <x:v>Phased equipment orders, hard-asset collateral, minimum-price clauses</x:v>
      </x:c>
      <x:c r="H35" s="35" t="str">
        <x:v>Strategic sale to regional building-products group or management buyout</x:v>
      </x:c>
      <x:c r="I35" s="27"/>
      <x:c r="J35" s="27"/>
      <x:c r="K35" s="27"/>
      <x:c r="L35" s="27"/>
      <x:c r="M35" s="27"/>
      <x:c r="N35" s="27"/>
      <x:c r="O35" s="27"/>
      <x:c r="P35" s="27"/>
    </x:row>
    <x:row r="36" ht="105" customHeight="1">
      <x:c r="A36" s="35" t="str">
        <x:v>Distributed industrial power &amp; storage SPV</x:v>
      </x:c>
      <x:c r="B36" s="35" t="str">
        <x:v>Portfolio of rooftop solar, battery storage and gas/biomass backup serving creditworthy food, logistics and light-industrial off-takers.</x:v>
      </x:c>
      <x:c r="C36" s="35" t="str">
        <x:v>Lviv, Zakarpattia, Vinnytsia, Ternopil and Khmelnytskyi oblasts</x:v>
      </x:c>
      <x:c r="D36" s="35" t="str">
        <x:v>Asset SPV; 7-10 year take-or-pay PPAs; step-in rights; insured equipment</x:v>
      </x:c>
      <x:c r="E36" s="35" t="str">
        <x:v>Generation, BESS, interconnection, controls and reserve equipment</x:v>
      </x:c>
      <x:c r="F36" s="35" t="str">
        <x:v>Contract 80% of capacity before build; phased commissioning; DSCR-ready reporting</x:v>
      </x:c>
      <x:c r="G36" s="35" t="str">
        <x:v>Multiple off-takers, modular phases, equipment security, political-risk insurance pursuit</x:v>
      </x:c>
      <x:c r="H36" s="35" t="str">
        <x:v>Yield platform sale to infrastructure/energy investor after operating track record</x:v>
      </x:c>
      <x:c r="I36" s="27"/>
      <x:c r="J36" s="27"/>
      <x:c r="K36" s="27"/>
      <x:c r="L36" s="27"/>
      <x:c r="M36" s="27"/>
      <x:c r="N36" s="27"/>
      <x:c r="O36" s="27"/>
      <x:c r="P36" s="27"/>
    </x:row>
  </x:sheetData>
  <x:mergeCells>
    <x:mergeCell ref="A1:P2"/>
    <x:mergeCell ref="A3:H3"/>
    <x:mergeCell ref="A12:H12"/>
  </x:mergeCells>
  <x:pageMargins left="0.7" right="0.7" top="0.75" bottom="0.75" header="0.3" footer="0.3"/>
  <x:legacyDrawing xmlns:r="http://schemas.openxmlformats.org/officeDocument/2006/relationships" r:id="R34f5b8ec2d74400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5" t="str">
        <x:v>10-Year Opportunity Cash Flows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</x:row>
    <x:row r="3">
      <x:c r="A3" s="26" t="str">
        <x:v>USD millions | formula-driven from Opportunity Assumptions | each scenario block shows revenue, EBITDA, FCF, terminal value and equity returns.</x:v>
      </x:c>
      <x:c r="B3" s="26"/>
      <x:c r="C3" s="26"/>
      <x:c r="D3" s="26"/>
      <x:c r="E3" s="26"/>
      <x:c r="F3" s="26"/>
      <x:c r="G3" s="26"/>
      <x:c r="H3" s="26"/>
      <x:c r="I3" s="27"/>
      <x:c r="J3" s="27"/>
      <x:c r="K3" s="27"/>
      <x:c r="L3" s="27"/>
      <x:c r="M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>
      <x:c r="A5" s="32" t="str">
        <x:v>Civilian dual-use sensing &amp; autonomy platform — Downside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</x:row>
    <x:row r="6">
      <x:c r="A6" s="28" t="str">
        <x:v>Metric</x:v>
      </x:c>
      <x:c r="B6" s="28" t="str">
        <x:v>Units</x:v>
      </x:c>
      <x:c r="C6" s="28" t="n">
        <x:v>0</x:v>
      </x:c>
      <x:c r="D6" s="28" t="n">
        <x:v>1</x:v>
      </x:c>
      <x:c r="E6" s="28" t="n">
        <x:v>2</x:v>
      </x:c>
      <x:c r="F6" s="28" t="n">
        <x:v>3</x:v>
      </x:c>
      <x:c r="G6" s="28" t="n">
        <x:v>4</x:v>
      </x:c>
      <x:c r="H6" s="28" t="n">
        <x:v>5</x:v>
      </x:c>
      <x:c r="I6" s="28" t="n">
        <x:v>6</x:v>
      </x:c>
      <x:c r="J6" s="28" t="n">
        <x:v>7</x:v>
      </x:c>
      <x:c r="K6" s="28" t="n">
        <x:v>8</x:v>
      </x:c>
      <x:c r="L6" s="28" t="n">
        <x:v>9</x:v>
      </x:c>
      <x:c r="M6" s="28" t="n">
        <x:v>10</x:v>
      </x:c>
    </x:row>
    <x:row r="7">
      <x:c r="A7" s="27" t="str">
        <x:v>Revenue</x:v>
      </x:c>
      <x:c r="B7" s="27" t="str">
        <x:v>$m</x:v>
      </x:c>
      <x:c r="C7" s="117" t="n">
        <x:v>0</x:v>
      </x:c>
      <x:c r="D7" s="117" t="n">
        <x:f>'Opportunity Assumptions'!$D$6*'Opportunity Assumptions'!$F$6*'Opportunity Assumptions'!$C$14</x:f>
        <x:v>2.1374999999999997</x:v>
      </x:c>
      <x:c r="E7" s="117" t="n">
        <x:f>D7*(1+E8)</x:f>
        <x:v>2.268486</x:v>
      </x:c>
      <x:c r="F7" s="117" t="n">
        <x:f>E7*(1+F8)</x:f>
        <x:v>2.4116274665999997</x:v>
      </x:c>
      <x:c r="G7" s="117" t="n">
        <x:f>F7*(1+G8)</x:f>
        <x:v>2.5638011597424595</x:v>
      </x:c>
      <x:c r="H7" s="117" t="n">
        <x:f>G7*(1+H8)</x:f>
        <x:v>2.7255770129222086</x:v>
      </x:c>
      <x:c r="I7" s="117" t="n">
        <x:f>H7*(1+I8)</x:f>
        <x:v>2.8975609224375996</x:v>
      </x:c>
      <x:c r="J7" s="117" t="n">
        <x:f>I7*(1+J8)</x:f>
        <x:v>3.080397016643412</x:v>
      </x:c>
      <x:c r="K7" s="117" t="n">
        <x:f>J7*(1+K8)</x:f>
        <x:v>3.274770068393611</x:v>
      </x:c>
      <x:c r="L7" s="117" t="n">
        <x:f>K7*(1+L8)</x:f>
        <x:v>3.4814080597092474</x:v>
      </x:c>
      <x:c r="M7" s="117" t="n">
        <x:f>L7*(1+M8)</x:f>
        <x:v>3.7010849082769006</x:v>
      </x:c>
    </x:row>
    <x:row r="8">
      <x:c r="A8" s="27" t="str">
        <x:v>USD revenue growth</x:v>
      </x:c>
      <x:c r="B8" s="27" t="str">
        <x:v>%</x:v>
      </x:c>
      <x:c r="C8" s="118" t="n">
        <x:v>0</x:v>
      </x:c>
      <x:c r="D8" s="118"/>
      <x:c r="E8" s="118" t="n">
        <x:f>MAX(-20%,'Opportunity Assumptions'!$G$6+'Opportunity Assumptions'!$D$14+'Opportunity Assumptions'!$H$6*'Opportunity Assumptions'!$I$6+(1-'Opportunity Assumptions'!$H$6)*('Opportunity Assumptions'!$B$21*'Opportunity Assumptions'!$J$6-MAX(0,'Opportunity Assumptions'!$C$21+'Opportunity Assumptions'!$G$14)))</x:f>
        <x:v>0.061280000000000015</x:v>
      </x:c>
      <x:c r="F8" s="118" t="n">
        <x:f>MAX(-20%,'Opportunity Assumptions'!$G$6+'Opportunity Assumptions'!$D$14+'Opportunity Assumptions'!$H$6*'Opportunity Assumptions'!$I$6+(1-'Opportunity Assumptions'!$H$6)*('Opportunity Assumptions'!$B$22*'Opportunity Assumptions'!$J$6-MAX(0,'Opportunity Assumptions'!$C$22+'Opportunity Assumptions'!$G$14)))</x:f>
        <x:v>0.06310000000000002</x:v>
      </x:c>
      <x:c r="G8" s="118" t="n">
        <x:f>MAX(-20%,'Opportunity Assumptions'!$G$6+'Opportunity Assumptions'!$D$14+'Opportunity Assumptions'!$H$6*'Opportunity Assumptions'!$I$6+(1-'Opportunity Assumptions'!$H$6)*('Opportunity Assumptions'!$B$23*'Opportunity Assumptions'!$J$6-MAX(0,'Opportunity Assumptions'!$C$23+'Opportunity Assumptions'!$G$14)))</x:f>
        <x:v>0.06310000000000002</x:v>
      </x:c>
      <x:c r="H8" s="118" t="n">
        <x:f>MAX(-20%,'Opportunity Assumptions'!$G$6+'Opportunity Assumptions'!$D$14+'Opportunity Assumptions'!$H$6*'Opportunity Assumptions'!$I$6+(1-'Opportunity Assumptions'!$H$6)*('Opportunity Assumptions'!$B$24*'Opportunity Assumptions'!$J$6-MAX(0,'Opportunity Assumptions'!$C$24+'Opportunity Assumptions'!$G$14)))</x:f>
        <x:v>0.06310000000000002</x:v>
      </x:c>
      <x:c r="I8" s="118" t="n">
        <x:f>MAX(-20%,'Opportunity Assumptions'!$G$6+'Opportunity Assumptions'!$D$14+'Opportunity Assumptions'!$H$6*'Opportunity Assumptions'!$I$6+(1-'Opportunity Assumptions'!$H$6)*('Opportunity Assumptions'!$B$25*'Opportunity Assumptions'!$J$6-MAX(0,'Opportunity Assumptions'!$C$25+'Opportunity Assumptions'!$G$14)))</x:f>
        <x:v>0.06310000000000002</x:v>
      </x:c>
      <x:c r="J8" s="118" t="n">
        <x:f>MAX(-20%,'Opportunity Assumptions'!$G$6+'Opportunity Assumptions'!$D$14+'Opportunity Assumptions'!$H$6*'Opportunity Assumptions'!$I$6+(1-'Opportunity Assumptions'!$H$6)*('Opportunity Assumptions'!$B$26*'Opportunity Assumptions'!$J$6-MAX(0,'Opportunity Assumptions'!$C$26+'Opportunity Assumptions'!$G$14)))</x:f>
        <x:v>0.06310000000000002</x:v>
      </x:c>
      <x:c r="K8" s="118" t="n">
        <x:f>MAX(-20%,'Opportunity Assumptions'!$G$6+'Opportunity Assumptions'!$D$14+'Opportunity Assumptions'!$H$6*'Opportunity Assumptions'!$I$6+(1-'Opportunity Assumptions'!$H$6)*('Opportunity Assumptions'!$B$27*'Opportunity Assumptions'!$J$6-MAX(0,'Opportunity Assumptions'!$C$27+'Opportunity Assumptions'!$G$14)))</x:f>
        <x:v>0.06310000000000002</x:v>
      </x:c>
      <x:c r="L8" s="118" t="n">
        <x:f>MAX(-20%,'Opportunity Assumptions'!$G$6+'Opportunity Assumptions'!$D$14+'Opportunity Assumptions'!$H$6*'Opportunity Assumptions'!$I$6+(1-'Opportunity Assumptions'!$H$6)*('Opportunity Assumptions'!$B$28*'Opportunity Assumptions'!$J$6-MAX(0,'Opportunity Assumptions'!$C$28+'Opportunity Assumptions'!$G$14)))</x:f>
        <x:v>0.06310000000000002</x:v>
      </x:c>
      <x:c r="M8" s="118" t="n">
        <x:f>MAX(-20%,'Opportunity Assumptions'!$G$6+'Opportunity Assumptions'!$D$14+'Opportunity Assumptions'!$H$6*'Opportunity Assumptions'!$I$6+(1-'Opportunity Assumptions'!$H$6)*('Opportunity Assumptions'!$B$29*'Opportunity Assumptions'!$J$6-MAX(0,'Opportunity Assumptions'!$C$29+'Opportunity Assumptions'!$G$14)))</x:f>
        <x:v>0.06310000000000002</x:v>
      </x:c>
    </x:row>
    <x:row r="9">
      <x:c r="A9" s="27" t="str">
        <x:v>EBITDA margin</x:v>
      </x:c>
      <x:c r="B9" s="27" t="str">
        <x:v>%</x:v>
      </x:c>
      <x:c r="C9" s="118" t="n">
        <x:v>0</x:v>
      </x:c>
      <x:c r="D9" s="118" t="n">
        <x:f>MAX(3%,MIN(55%,'Opportunity Assumptions'!$K$6+('Opportunity Assumptions'!$L$6-'Opportunity Assumptions'!$K$6)*MIN(1,(1-1)/4)+'Opportunity Assumptions'!$E$14))</x:f>
        <x:v>0.07</x:v>
      </x:c>
      <x:c r="E9" s="118" t="n">
        <x:f>MAX(3%,MIN(55%,'Opportunity Assumptions'!$K$6+('Opportunity Assumptions'!$L$6-'Opportunity Assumptions'!$K$6)*MIN(1,(2-1)/4)+'Opportunity Assumptions'!$E$14))</x:f>
        <x:v>0.10999999999999999</x:v>
      </x:c>
      <x:c r="F9" s="118" t="n">
        <x:f>MAX(3%,MIN(55%,'Opportunity Assumptions'!$K$6+('Opportunity Assumptions'!$L$6-'Opportunity Assumptions'!$K$6)*MIN(1,(3-1)/4)+'Opportunity Assumptions'!$E$14))</x:f>
        <x:v>0.15</x:v>
      </x:c>
      <x:c r="G9" s="118" t="n">
        <x:f>MAX(3%,MIN(55%,'Opportunity Assumptions'!$K$6+('Opportunity Assumptions'!$L$6-'Opportunity Assumptions'!$K$6)*MIN(1,(4-1)/4)+'Opportunity Assumptions'!$E$14))</x:f>
        <x:v>0.19</x:v>
      </x:c>
      <x:c r="H9" s="118" t="n">
        <x:f>MAX(3%,MIN(55%,'Opportunity Assumptions'!$K$6+('Opportunity Assumptions'!$L$6-'Opportunity Assumptions'!$K$6)*MIN(1,(5-1)/4)+'Opportunity Assumptions'!$E$14))</x:f>
        <x:v>0.22999999999999998</x:v>
      </x:c>
      <x:c r="I9" s="118" t="n">
        <x:f>MAX(3%,MIN(55%,'Opportunity Assumptions'!$K$6+('Opportunity Assumptions'!$L$6-'Opportunity Assumptions'!$K$6)*MIN(1,(6-1)/4)+'Opportunity Assumptions'!$E$14))</x:f>
        <x:v>0.22999999999999998</x:v>
      </x:c>
      <x:c r="J9" s="118" t="n">
        <x:f>MAX(3%,MIN(55%,'Opportunity Assumptions'!$K$6+('Opportunity Assumptions'!$L$6-'Opportunity Assumptions'!$K$6)*MIN(1,(7-1)/4)+'Opportunity Assumptions'!$E$14))</x:f>
        <x:v>0.22999999999999998</x:v>
      </x:c>
      <x:c r="K9" s="118" t="n">
        <x:f>MAX(3%,MIN(55%,'Opportunity Assumptions'!$K$6+('Opportunity Assumptions'!$L$6-'Opportunity Assumptions'!$K$6)*MIN(1,(8-1)/4)+'Opportunity Assumptions'!$E$14))</x:f>
        <x:v>0.22999999999999998</x:v>
      </x:c>
      <x:c r="L9" s="118" t="n">
        <x:f>MAX(3%,MIN(55%,'Opportunity Assumptions'!$K$6+('Opportunity Assumptions'!$L$6-'Opportunity Assumptions'!$K$6)*MIN(1,(9-1)/4)+'Opportunity Assumptions'!$E$14))</x:f>
        <x:v>0.22999999999999998</x:v>
      </x:c>
      <x:c r="M9" s="118" t="n">
        <x:f>MAX(3%,MIN(55%,'Opportunity Assumptions'!$K$6+('Opportunity Assumptions'!$L$6-'Opportunity Assumptions'!$K$6)*MIN(1,(10-1)/4)+'Opportunity Assumptions'!$E$14))</x:f>
        <x:v>0.22999999999999998</x:v>
      </x:c>
    </x:row>
    <x:row r="10">
      <x:c r="A10" s="27" t="str">
        <x:v>EBITDA</x:v>
      </x:c>
      <x:c r="B10" s="27" t="str">
        <x:v>$m</x:v>
      </x:c>
      <x:c r="C10" s="117" t="n">
        <x:v>0</x:v>
      </x:c>
      <x:c r="D10" s="117" t="n">
        <x:f>D7*D9</x:f>
        <x:v>0.149625</x:v>
      </x:c>
      <x:c r="E10" s="117" t="n">
        <x:f>E7*E9</x:f>
        <x:v>0.24953345999999996</x:v>
      </x:c>
      <x:c r="F10" s="117" t="n">
        <x:f>F7*F9</x:f>
        <x:v>0.36174411998999995</x:v>
      </x:c>
      <x:c r="G10" s="117" t="n">
        <x:f>G7*G9</x:f>
        <x:v>0.4871222203510673</x:v>
      </x:c>
      <x:c r="H10" s="117" t="n">
        <x:f>H7*H9</x:f>
        <x:v>0.626882712972108</x:v>
      </x:c>
      <x:c r="I10" s="117" t="n">
        <x:f>I7*I9</x:f>
        <x:v>0.6664390121606478</x:v>
      </x:c>
      <x:c r="J10" s="117" t="n">
        <x:f>J7*J9</x:f>
        <x:v>0.7084913138279847</x:v>
      </x:c>
      <x:c r="K10" s="117" t="n">
        <x:f>K7*K9</x:f>
        <x:v>0.7531971157305305</x:v>
      </x:c>
      <x:c r="L10" s="117" t="n">
        <x:f>L7*L9</x:f>
        <x:v>0.8007238537331268</x:v>
      </x:c>
      <x:c r="M10" s="117" t="n">
        <x:f>M7*M9</x:f>
        <x:v>0.8512495289036871</x:v>
      </x:c>
    </x:row>
    <x:row r="11">
      <x:c r="A11" s="27" t="str">
        <x:v>D&amp;A</x:v>
      </x:c>
      <x:c r="B11" s="27" t="str">
        <x:v>$m</x:v>
      </x:c>
      <x:c r="C11" s="117" t="n">
        <x:v>0</x:v>
      </x:c>
      <x:c r="D11" s="117" t="n">
        <x:f>D7*'Opportunity Assumptions'!$M$6</x:f>
        <x:v>0.0534375</x:v>
      </x:c>
      <x:c r="E11" s="117" t="n">
        <x:f>E7*'Opportunity Assumptions'!$M$6</x:f>
        <x:v>0.056712149999999996</x:v>
      </x:c>
      <x:c r="F11" s="117" t="n">
        <x:f>F7*'Opportunity Assumptions'!$M$6</x:f>
        <x:v>0.060290686664999996</x:v>
      </x:c>
      <x:c r="G11" s="117" t="n">
        <x:f>G7*'Opportunity Assumptions'!$M$6</x:f>
        <x:v>0.0640950289935615</x:v>
      </x:c>
      <x:c r="H11" s="117" t="n">
        <x:f>H7*'Opportunity Assumptions'!$M$6</x:f>
        <x:v>0.06813942532305521</x:v>
      </x:c>
      <x:c r="I11" s="117" t="n">
        <x:f>I7*'Opportunity Assumptions'!$M$6</x:f>
        <x:v>0.07243902306094</x:v>
      </x:c>
      <x:c r="J11" s="117" t="n">
        <x:f>J7*'Opportunity Assumptions'!$M$6</x:f>
        <x:v>0.07700992541608531</x:v>
      </x:c>
      <x:c r="K11" s="117" t="n">
        <x:f>K7*'Opportunity Assumptions'!$M$6</x:f>
        <x:v>0.08186925170984027</x:v>
      </x:c>
      <x:c r="L11" s="117" t="n">
        <x:f>L7*'Opportunity Assumptions'!$M$6</x:f>
        <x:v>0.0870352014927312</x:v>
      </x:c>
      <x:c r="M11" s="117" t="n">
        <x:f>M7*'Opportunity Assumptions'!$M$6</x:f>
        <x:v>0.09252712270692252</x:v>
      </x:c>
    </x:row>
    <x:row r="12">
      <x:c r="A12" s="27" t="str">
        <x:v>EBIT</x:v>
      </x:c>
      <x:c r="B12" s="27" t="str">
        <x:v>$m</x:v>
      </x:c>
      <x:c r="C12" s="117" t="n">
        <x:v>0</x:v>
      </x:c>
      <x:c r="D12" s="117" t="n">
        <x:f>D10-D11</x:f>
        <x:v>0.09618750000000001</x:v>
      </x:c>
      <x:c r="E12" s="117" t="n">
        <x:f>E10-E11</x:f>
        <x:v>0.19282130999999997</x:v>
      </x:c>
      <x:c r="F12" s="117" t="n">
        <x:f>F10-F11</x:f>
        <x:v>0.30145343332499996</x:v>
      </x:c>
      <x:c r="G12" s="117" t="n">
        <x:f>G10-G11</x:f>
        <x:v>0.42302719135750577</x:v>
      </x:c>
      <x:c r="H12" s="117" t="n">
        <x:f>H10-H11</x:f>
        <x:v>0.5587432876490528</x:v>
      </x:c>
      <x:c r="I12" s="117" t="n">
        <x:f>I10-I11</x:f>
        <x:v>0.5939999890997079</x:v>
      </x:c>
      <x:c r="J12" s="117" t="n">
        <x:f>J10-J11</x:f>
        <x:v>0.6314813884118994</x:v>
      </x:c>
      <x:c r="K12" s="117" t="n">
        <x:f>K10-K11</x:f>
        <x:v>0.6713278640206902</x:v>
      </x:c>
      <x:c r="L12" s="117" t="n">
        <x:f>L10-L11</x:f>
        <x:v>0.7136886522403956</x:v>
      </x:c>
      <x:c r="M12" s="117" t="n">
        <x:f>M10-M11</x:f>
        <x:v>0.7587224061967646</x:v>
      </x:c>
    </x:row>
    <x:row r="13">
      <x:c r="A13" s="27" t="str">
        <x:v>Corporate tax</x:v>
      </x:c>
      <x:c r="B13" s="27" t="str">
        <x:v>$m</x:v>
      </x:c>
      <x:c r="C13" s="117" t="n">
        <x:v>0</x:v>
      </x:c>
      <x:c r="D13" s="117" t="n">
        <x:f>MAX(0,D12)*'Opportunity Assumptions'!$D$20</x:f>
        <x:v>0.01731375</x:v>
      </x:c>
      <x:c r="E13" s="117" t="n">
        <x:f>MAX(0,E12)*'Opportunity Assumptions'!$D$21</x:f>
        <x:v>0.034707835799999996</x:v>
      </x:c>
      <x:c r="F13" s="117" t="n">
        <x:f>MAX(0,F12)*'Opportunity Assumptions'!$D$22</x:f>
        <x:v>0.05426161799849999</x:v>
      </x:c>
      <x:c r="G13" s="117" t="n">
        <x:f>MAX(0,G12)*'Opportunity Assumptions'!$D$23</x:f>
        <x:v>0.07614489444435103</x:v>
      </x:c>
      <x:c r="H13" s="117" t="n">
        <x:f>MAX(0,H12)*'Opportunity Assumptions'!$D$24</x:f>
        <x:v>0.1005737917768295</x:v>
      </x:c>
      <x:c r="I13" s="117" t="n">
        <x:f>MAX(0,I12)*'Opportunity Assumptions'!$D$25</x:f>
        <x:v>0.10691999803794741</x:v>
      </x:c>
      <x:c r="J13" s="117" t="n">
        <x:f>MAX(0,J12)*'Opportunity Assumptions'!$D$26</x:f>
        <x:v>0.11366664991414188</x:v>
      </x:c>
      <x:c r="K13" s="117" t="n">
        <x:f>MAX(0,K12)*'Opportunity Assumptions'!$D$27</x:f>
        <x:v>0.12083901552372424</x:v>
      </x:c>
      <x:c r="L13" s="117" t="n">
        <x:f>MAX(0,L12)*'Opportunity Assumptions'!$D$28</x:f>
        <x:v>0.1284639574032712</x:v>
      </x:c>
      <x:c r="M13" s="117" t="n">
        <x:f>MAX(0,M12)*'Opportunity Assumptions'!$D$29</x:f>
        <x:v>0.13657003311541763</x:v>
      </x:c>
    </x:row>
    <x:row r="14">
      <x:c r="A14" s="27" t="str">
        <x:v>Capex</x:v>
      </x:c>
      <x:c r="B14" s="27" t="str">
        <x:v>$m</x:v>
      </x:c>
      <x:c r="C14" s="117" t="n">
        <x:v>0</x:v>
      </x:c>
      <x:c r="D14" s="117" t="n">
        <x:f>D7*'Opportunity Assumptions'!$N$6</x:f>
        <x:v>0.09618749999999998</x:v>
      </x:c>
      <x:c r="E14" s="117" t="n">
        <x:f>E7*'Opportunity Assumptions'!$N$6</x:f>
        <x:v>0.10208186999999999</x:v>
      </x:c>
      <x:c r="F14" s="117" t="n">
        <x:f>F7*'Opportunity Assumptions'!$N$6</x:f>
        <x:v>0.10852323599699998</x:v>
      </x:c>
      <x:c r="G14" s="117" t="n">
        <x:f>G7*'Opportunity Assumptions'!$N$6</x:f>
        <x:v>0.11537105218841068</x:v>
      </x:c>
      <x:c r="H14" s="117" t="n">
        <x:f>H7*'Opportunity Assumptions'!$N$6</x:f>
        <x:v>0.12265096558149938</x:v>
      </x:c>
      <x:c r="I14" s="117" t="n">
        <x:f>I7*'Opportunity Assumptions'!$N$6</x:f>
        <x:v>0.13039024150969197</x:v>
      </x:c>
      <x:c r="J14" s="117" t="n">
        <x:f>J7*'Opportunity Assumptions'!$N$6</x:f>
        <x:v>0.13861786574895354</x:v>
      </x:c>
      <x:c r="K14" s="117" t="n">
        <x:f>K7*'Opportunity Assumptions'!$N$6</x:f>
        <x:v>0.1473646530777125</x:v>
      </x:c>
      <x:c r="L14" s="117" t="n">
        <x:f>L7*'Opportunity Assumptions'!$N$6</x:f>
        <x:v>0.15666336268691614</x:v>
      </x:c>
      <x:c r="M14" s="117" t="n">
        <x:f>M7*'Opportunity Assumptions'!$N$6</x:f>
        <x:v>0.16654882087246053</x:v>
      </x:c>
    </x:row>
    <x:row r="15">
      <x:c r="A15" s="27" t="str">
        <x:v>Change in NWC</x:v>
      </x:c>
      <x:c r="B15" s="27" t="str">
        <x:v>$m</x:v>
      </x:c>
      <x:c r="C15" s="117" t="n">
        <x:v>0</x:v>
      </x:c>
      <x:c r="D15" s="117" t="n">
        <x:f>0</x:f>
        <x:v>0</x:v>
      </x:c>
      <x:c r="E15" s="117" t="n">
        <x:f>(E7-D7)*'Opportunity Assumptions'!$O$6</x:f>
        <x:v>0.011788740000000004</x:v>
      </x:c>
      <x:c r="F15" s="117" t="n">
        <x:f>(F7-E7)*'Opportunity Assumptions'!$O$6</x:f>
        <x:v>0.012882731993999993</x:v>
      </x:c>
      <x:c r="G15" s="117" t="n">
        <x:f>(G7-F7)*'Opportunity Assumptions'!$O$6</x:f>
        <x:v>0.013695632382821378</x:v>
      </x:c>
      <x:c r="H15" s="117" t="n">
        <x:f>(H7-G7)*'Opportunity Assumptions'!$O$6</x:f>
        <x:v>0.014559826786177416</x:v>
      </x:c>
      <x:c r="I15" s="117" t="n">
        <x:f>(I7-H7)*'Opportunity Assumptions'!$O$6</x:f>
        <x:v>0.015478551856385189</x:v>
      </x:c>
      <x:c r="J15" s="117" t="n">
        <x:f>(J7-I7)*'Opportunity Assumptions'!$O$6</x:f>
        <x:v>0.016455248478523123</x:v>
      </x:c>
      <x:c r="K15" s="117" t="n">
        <x:f>(K7-J7)*'Opportunity Assumptions'!$O$6</x:f>
        <x:v>0.017493574657517903</x:v>
      </x:c>
      <x:c r="L15" s="117" t="n">
        <x:f>(L7-K7)*'Opportunity Assumptions'!$O$6</x:f>
        <x:v>0.01859741921840728</x:v>
      </x:c>
      <x:c r="M15" s="117" t="n">
        <x:f>(M7-L7)*'Opportunity Assumptions'!$O$6</x:f>
        <x:v>0.01977091637108879</x:v>
      </x:c>
    </x:row>
    <x:row r="16">
      <x:c r="A16" s="27" t="str">
        <x:v>Free cash flow</x:v>
      </x:c>
      <x:c r="B16" s="27" t="str">
        <x:v>$m</x:v>
      </x:c>
      <x:c r="C16" s="117" t="n">
        <x:v>0</x:v>
      </x:c>
      <x:c r="D16" s="117" t="n">
        <x:f>D10-D13-D14-D15</x:f>
        <x:v>0.03612375000000004</x:v>
      </x:c>
      <x:c r="E16" s="117" t="n">
        <x:f>E10-E13-E14-E15</x:f>
        <x:v>0.10095501419999996</x:v>
      </x:c>
      <x:c r="F16" s="117" t="n">
        <x:f>F10-F13-F14-F15</x:f>
        <x:v>0.18607653400049998</x:v>
      </x:c>
      <x:c r="G16" s="117" t="n">
        <x:f>G10-G13-G14-G15</x:f>
        <x:v>0.2819106413354842</x:v>
      </x:c>
      <x:c r="H16" s="117" t="n">
        <x:f>H10-H13-H14-H15</x:f>
        <x:v>0.38909812882760175</x:v>
      </x:c>
      <x:c r="I16" s="117" t="n">
        <x:f>I10-I13-I14-I15</x:f>
        <x:v>0.4136502207566233</x:v>
      </x:c>
      <x:c r="J16" s="117" t="n">
        <x:f>J10-J13-J14-J15</x:f>
        <x:v>0.43975154968636615</x:v>
      </x:c>
      <x:c r="K16" s="117" t="n">
        <x:f>K10-K13-K14-K15</x:f>
        <x:v>0.4674998724715759</x:v>
      </x:c>
      <x:c r="L16" s="117" t="n">
        <x:f>L10-L13-L14-L15</x:f>
        <x:v>0.49699911442453215</x:v>
      </x:c>
      <x:c r="M16" s="117" t="n">
        <x:f>M10-M13-M14-M15</x:f>
        <x:v>0.5283597585447203</x:v>
      </x:c>
    </x:row>
    <x:row r="17">
      <x:c r="A17" s="27" t="str">
        <x:v>Terminal value</x:v>
      </x:c>
      <x:c r="B17" s="27" t="str">
        <x:v>$m</x:v>
      </x:c>
      <x:c r="C17" s="117" t="n">
        <x:v>0</x:v>
      </x:c>
      <x:c r="D17" s="117" t="n">
        <x:f>0</x:f>
        <x:v>0</x:v>
      </x:c>
      <x:c r="E17" s="117" t="n">
        <x:f>0</x:f>
        <x:v>0</x:v>
      </x:c>
      <x:c r="F17" s="117" t="n">
        <x:f>0</x:f>
        <x:v>0</x:v>
      </x:c>
      <x:c r="G17" s="117" t="n">
        <x:f>0</x:f>
        <x:v>0</x:v>
      </x:c>
      <x:c r="H17" s="117" t="n">
        <x:f>0</x:f>
        <x:v>0</x:v>
      </x:c>
      <x:c r="I17" s="117" t="n">
        <x:f>0</x:f>
        <x:v>0</x:v>
      </x:c>
      <x:c r="J17" s="117" t="n">
        <x:f>0</x:f>
        <x:v>0</x:v>
      </x:c>
      <x:c r="K17" s="117" t="n">
        <x:f>0</x:f>
        <x:v>0</x:v>
      </x:c>
      <x:c r="L17" s="117" t="n">
        <x:f>0</x:f>
        <x:v>0</x:v>
      </x:c>
      <x:c r="M17" s="117" t="n">
        <x:f>M10*'Opportunity Assumptions'!$P$6*'Opportunity Assumptions'!$F$14</x:f>
        <x:v>3.2773106862791956</x:v>
      </x:c>
    </x:row>
    <x:row r="18">
      <x:c r="A18" s="119" t="str">
        <x:v>Equity cash flow</x:v>
      </x:c>
      <x:c r="B18" s="119" t="str">
        <x:v>$m</x:v>
      </x:c>
      <x:c r="C18" s="120" t="n">
        <x:f>-'Opportunity Assumptions'!$D$6</x:f>
        <x:v>-3</x:v>
      </x:c>
      <x:c r="D18" s="120" t="n">
        <x:f>IF(1&lt;='Opportunity Assumptions'!$H$14,MIN(0,D16),D16)+D17</x:f>
        <x:v>0</x:v>
      </x:c>
      <x:c r="E18" s="120" t="n">
        <x:f>IF(2&lt;='Opportunity Assumptions'!$H$14,MIN(0,E16),E16)+E17</x:f>
        <x:v>0</x:v>
      </x:c>
      <x:c r="F18" s="120" t="n">
        <x:f>IF(3&lt;='Opportunity Assumptions'!$H$14,MIN(0,F16),F16)+F17</x:f>
        <x:v>0</x:v>
      </x:c>
      <x:c r="G18" s="120" t="n">
        <x:f>IF(4&lt;='Opportunity Assumptions'!$H$14,MIN(0,G16),G16)+G17</x:f>
        <x:v>0.2819106413354842</x:v>
      </x:c>
      <x:c r="H18" s="120" t="n">
        <x:f>IF(5&lt;='Opportunity Assumptions'!$H$14,MIN(0,H16),H16)+H17</x:f>
        <x:v>0.38909812882760175</x:v>
      </x:c>
      <x:c r="I18" s="120" t="n">
        <x:f>IF(6&lt;='Opportunity Assumptions'!$H$14,MIN(0,I16),I16)+I17</x:f>
        <x:v>0.4136502207566233</x:v>
      </x:c>
      <x:c r="J18" s="120" t="n">
        <x:f>IF(7&lt;='Opportunity Assumptions'!$H$14,MIN(0,J16),J16)+J17</x:f>
        <x:v>0.43975154968636615</x:v>
      </x:c>
      <x:c r="K18" s="120" t="n">
        <x:f>IF(8&lt;='Opportunity Assumptions'!$H$14,MIN(0,K16),K16)+K17</x:f>
        <x:v>0.4674998724715759</x:v>
      </x:c>
      <x:c r="L18" s="120" t="n">
        <x:f>IF(9&lt;='Opportunity Assumptions'!$H$14,MIN(0,L16),L16)+L17</x:f>
        <x:v>0.49699911442453215</x:v>
      </x:c>
      <x:c r="M18" s="120" t="n">
        <x:f>IF(10&lt;='Opportunity Assumptions'!$H$14,MIN(0,M16),M16)+M17</x:f>
        <x:v>3.805670444823916</x:v>
      </x:c>
    </x:row>
    <x:row r="19">
      <x:c r="A19" s="27" t="str">
        <x:v>Gross USD IRR</x:v>
      </x:c>
      <x:c r="B19" s="27" t="str">
        <x:v>%</x:v>
      </x:c>
      <x:c r="C19" s="118" t="n">
        <x:f>IF(AND(MIN(C18:M18)&lt;0,MAX(C18:M18)&gt;0),IRR(C18:M18),"")</x:f>
        <x:v>0.0904680987948738</x:v>
      </x:c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</x:row>
    <x:row r="20">
      <x:c r="A20" s="27" t="str">
        <x:v>Gross USD MOIC</x:v>
      </x:c>
      <x:c r="B20" s="27" t="str">
        <x:v>x</x:v>
      </x:c>
      <x:c r="C20" s="121" t="n">
        <x:f>SUMIF(C18:M18,"&gt;0",C18:M18)/-SUMIF(C18:M18,"&lt;0",C18:M18)</x:f>
        <x:v>2.0981933241086996</x:v>
      </x:c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</x:row>
    <x:row r="21">
      <x:c r="A21" s="27" t="str">
        <x:v>NPV @ 20%</x:v>
      </x:c>
      <x:c r="B21" s="27" t="str">
        <x:v>$m</x:v>
      </x:c>
      <x:c r="C21" s="117" t="n">
        <x:f>NPV('Opportunity Assumptions'!$E$20,D18:M18)+C18</x:f>
        <x:v>-1.6267363927617964</x:v>
      </x:c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</x:row>
    <x:row r="23">
      <x:c r="A23" s="32" t="str">
        <x:v>Civilian dual-use sensing &amp; autonomy platform — Base</x:v>
      </x:c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</x:row>
    <x:row r="24">
      <x:c r="A24" s="28" t="str">
        <x:v>Metric</x:v>
      </x:c>
      <x:c r="B24" s="28" t="str">
        <x:v>Units</x:v>
      </x:c>
      <x:c r="C24" s="28" t="n">
        <x:v>0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  <x:c r="J24" s="28" t="n">
        <x:v>7</x:v>
      </x:c>
      <x:c r="K24" s="28" t="n">
        <x:v>8</x:v>
      </x:c>
      <x:c r="L24" s="28" t="n">
        <x:v>9</x:v>
      </x:c>
      <x:c r="M24" s="28" t="n">
        <x:v>10</x:v>
      </x:c>
    </x:row>
    <x:row r="25">
      <x:c r="A25" s="27" t="str">
        <x:v>Revenue</x:v>
      </x:c>
      <x:c r="B25" s="27" t="str">
        <x:v>$m</x:v>
      </x:c>
      <x:c r="C25" s="117" t="n">
        <x:v>0</x:v>
      </x:c>
      <x:c r="D25" s="117" t="n">
        <x:f>'Opportunity Assumptions'!$D$6*'Opportunity Assumptions'!$F$6*'Opportunity Assumptions'!$C$15</x:f>
        <x:v>2.8499999999999996</x:v>
      </x:c>
      <x:c r="E25" s="117" t="n">
        <x:f>D25*(1+E26)</x:f>
        <x:v>3.2355479999999996</x:v>
      </x:c>
      <x:c r="F25" s="117" t="n">
        <x:f>E25*(1+F26)</x:f>
        <x:v>3.6791416308</x:v>
      </x:c>
      <x:c r="G25" s="117" t="n">
        <x:f>F25*(1+G26)</x:f>
        <x:v>4.1835519483826795</x:v>
      </x:c>
      <x:c r="H25" s="117" t="n">
        <x:f>G25*(1+H26)</x:f>
        <x:v>4.757116920505945</x:v>
      </x:c>
      <x:c r="I25" s="117" t="n">
        <x:f>H25*(1+I26)</x:f>
        <x:v>5.40931765030731</x:v>
      </x:c>
      <x:c r="J25" s="117" t="n">
        <x:f>I25*(1+J26)</x:f>
        <x:v>6.150935100164443</x:v>
      </x:c>
      <x:c r="K25" s="117" t="n">
        <x:f>J25*(1+K26)</x:f>
        <x:v>6.994228302396988</x:v>
      </x:c>
      <x:c r="L25" s="117" t="n">
        <x:f>K25*(1+L26)</x:f>
        <x:v>7.953137002655615</x:v>
      </x:c>
      <x:c r="M25" s="117" t="n">
        <x:f>L25*(1+M26)</x:f>
        <x:v>9.0435120857197</x:v>
      </x:c>
    </x:row>
    <x:row r="26">
      <x:c r="A26" s="27" t="str">
        <x:v>USD revenue growth</x:v>
      </x:c>
      <x:c r="B26" s="27" t="str">
        <x:v>%</x:v>
      </x:c>
      <x:c r="C26" s="118" t="n">
        <x:v>0</x:v>
      </x:c>
      <x:c r="D26" s="118"/>
      <x:c r="E26" s="118" t="n">
        <x:f>MAX(-20%,'Opportunity Assumptions'!$G$6+'Opportunity Assumptions'!$D$15+'Opportunity Assumptions'!$H$6*'Opportunity Assumptions'!$I$6+(1-'Opportunity Assumptions'!$H$6)*('Opportunity Assumptions'!$B$21*'Opportunity Assumptions'!$J$6-MAX(0,'Opportunity Assumptions'!$C$21+'Opportunity Assumptions'!$G$15)))</x:f>
        <x:v>0.13527999999999998</x:v>
      </x:c>
      <x:c r="F26" s="118" t="n">
        <x:f>MAX(-20%,'Opportunity Assumptions'!$G$6+'Opportunity Assumptions'!$D$15+'Opportunity Assumptions'!$H$6*'Opportunity Assumptions'!$I$6+(1-'Opportunity Assumptions'!$H$6)*('Opportunity Assumptions'!$B$22*'Opportunity Assumptions'!$J$6-MAX(0,'Opportunity Assumptions'!$C$22+'Opportunity Assumptions'!$G$15)))</x:f>
        <x:v>0.1371</x:v>
      </x:c>
      <x:c r="G26" s="118" t="n">
        <x:f>MAX(-20%,'Opportunity Assumptions'!$G$6+'Opportunity Assumptions'!$D$15+'Opportunity Assumptions'!$H$6*'Opportunity Assumptions'!$I$6+(1-'Opportunity Assumptions'!$H$6)*('Opportunity Assumptions'!$B$23*'Opportunity Assumptions'!$J$6-MAX(0,'Opportunity Assumptions'!$C$23+'Opportunity Assumptions'!$G$15)))</x:f>
        <x:v>0.1371</x:v>
      </x:c>
      <x:c r="H26" s="118" t="n">
        <x:f>MAX(-20%,'Opportunity Assumptions'!$G$6+'Opportunity Assumptions'!$D$15+'Opportunity Assumptions'!$H$6*'Opportunity Assumptions'!$I$6+(1-'Opportunity Assumptions'!$H$6)*('Opportunity Assumptions'!$B$24*'Opportunity Assumptions'!$J$6-MAX(0,'Opportunity Assumptions'!$C$24+'Opportunity Assumptions'!$G$15)))</x:f>
        <x:v>0.1371</x:v>
      </x:c>
      <x:c r="I26" s="118" t="n">
        <x:f>MAX(-20%,'Opportunity Assumptions'!$G$6+'Opportunity Assumptions'!$D$15+'Opportunity Assumptions'!$H$6*'Opportunity Assumptions'!$I$6+(1-'Opportunity Assumptions'!$H$6)*('Opportunity Assumptions'!$B$25*'Opportunity Assumptions'!$J$6-MAX(0,'Opportunity Assumptions'!$C$25+'Opportunity Assumptions'!$G$15)))</x:f>
        <x:v>0.1371</x:v>
      </x:c>
      <x:c r="J26" s="118" t="n">
        <x:f>MAX(-20%,'Opportunity Assumptions'!$G$6+'Opportunity Assumptions'!$D$15+'Opportunity Assumptions'!$H$6*'Opportunity Assumptions'!$I$6+(1-'Opportunity Assumptions'!$H$6)*('Opportunity Assumptions'!$B$26*'Opportunity Assumptions'!$J$6-MAX(0,'Opportunity Assumptions'!$C$26+'Opportunity Assumptions'!$G$15)))</x:f>
        <x:v>0.1371</x:v>
      </x:c>
      <x:c r="K26" s="118" t="n">
        <x:f>MAX(-20%,'Opportunity Assumptions'!$G$6+'Opportunity Assumptions'!$D$15+'Opportunity Assumptions'!$H$6*'Opportunity Assumptions'!$I$6+(1-'Opportunity Assumptions'!$H$6)*('Opportunity Assumptions'!$B$27*'Opportunity Assumptions'!$J$6-MAX(0,'Opportunity Assumptions'!$C$27+'Opportunity Assumptions'!$G$15)))</x:f>
        <x:v>0.1371</x:v>
      </x:c>
      <x:c r="L26" s="118" t="n">
        <x:f>MAX(-20%,'Opportunity Assumptions'!$G$6+'Opportunity Assumptions'!$D$15+'Opportunity Assumptions'!$H$6*'Opportunity Assumptions'!$I$6+(1-'Opportunity Assumptions'!$H$6)*('Opportunity Assumptions'!$B$28*'Opportunity Assumptions'!$J$6-MAX(0,'Opportunity Assumptions'!$C$28+'Opportunity Assumptions'!$G$15)))</x:f>
        <x:v>0.1371</x:v>
      </x:c>
      <x:c r="M26" s="118" t="n">
        <x:f>MAX(-20%,'Opportunity Assumptions'!$G$6+'Opportunity Assumptions'!$D$15+'Opportunity Assumptions'!$H$6*'Opportunity Assumptions'!$I$6+(1-'Opportunity Assumptions'!$H$6)*('Opportunity Assumptions'!$B$29*'Opportunity Assumptions'!$J$6-MAX(0,'Opportunity Assumptions'!$C$29+'Opportunity Assumptions'!$G$15)))</x:f>
        <x:v>0.1371</x:v>
      </x:c>
    </x:row>
    <x:row r="27">
      <x:c r="A27" s="27" t="str">
        <x:v>EBITDA margin</x:v>
      </x:c>
      <x:c r="B27" s="27" t="str">
        <x:v>%</x:v>
      </x:c>
      <x:c r="C27" s="118" t="n">
        <x:v>0</x:v>
      </x:c>
      <x:c r="D27" s="118" t="n">
        <x:f>MAX(3%,MIN(55%,'Opportunity Assumptions'!$K$6+('Opportunity Assumptions'!$L$6-'Opportunity Assumptions'!$K$6)*MIN(1,(1-1)/4)+'Opportunity Assumptions'!$E$15))</x:f>
        <x:v>0.13</x:v>
      </x:c>
      <x:c r="E27" s="118" t="n">
        <x:f>MAX(3%,MIN(55%,'Opportunity Assumptions'!$K$6+('Opportunity Assumptions'!$L$6-'Opportunity Assumptions'!$K$6)*MIN(1,(2-1)/4)+'Opportunity Assumptions'!$E$15))</x:f>
        <x:v>0.16999999999999998</x:v>
      </x:c>
      <x:c r="F27" s="118" t="n">
        <x:f>MAX(3%,MIN(55%,'Opportunity Assumptions'!$K$6+('Opportunity Assumptions'!$L$6-'Opportunity Assumptions'!$K$6)*MIN(1,(3-1)/4)+'Opportunity Assumptions'!$E$15))</x:f>
        <x:v>0.21</x:v>
      </x:c>
      <x:c r="G27" s="118" t="n">
        <x:f>MAX(3%,MIN(55%,'Opportunity Assumptions'!$K$6+('Opportunity Assumptions'!$L$6-'Opportunity Assumptions'!$K$6)*MIN(1,(4-1)/4)+'Opportunity Assumptions'!$E$15))</x:f>
        <x:v>0.25</x:v>
      </x:c>
      <x:c r="H27" s="118" t="n">
        <x:f>MAX(3%,MIN(55%,'Opportunity Assumptions'!$K$6+('Opportunity Assumptions'!$L$6-'Opportunity Assumptions'!$K$6)*MIN(1,(5-1)/4)+'Opportunity Assumptions'!$E$15))</x:f>
        <x:v>0.29</x:v>
      </x:c>
      <x:c r="I27" s="118" t="n">
        <x:f>MAX(3%,MIN(55%,'Opportunity Assumptions'!$K$6+('Opportunity Assumptions'!$L$6-'Opportunity Assumptions'!$K$6)*MIN(1,(6-1)/4)+'Opportunity Assumptions'!$E$15))</x:f>
        <x:v>0.29</x:v>
      </x:c>
      <x:c r="J27" s="118" t="n">
        <x:f>MAX(3%,MIN(55%,'Opportunity Assumptions'!$K$6+('Opportunity Assumptions'!$L$6-'Opportunity Assumptions'!$K$6)*MIN(1,(7-1)/4)+'Opportunity Assumptions'!$E$15))</x:f>
        <x:v>0.29</x:v>
      </x:c>
      <x:c r="K27" s="118" t="n">
        <x:f>MAX(3%,MIN(55%,'Opportunity Assumptions'!$K$6+('Opportunity Assumptions'!$L$6-'Opportunity Assumptions'!$K$6)*MIN(1,(8-1)/4)+'Opportunity Assumptions'!$E$15))</x:f>
        <x:v>0.29</x:v>
      </x:c>
      <x:c r="L27" s="118" t="n">
        <x:f>MAX(3%,MIN(55%,'Opportunity Assumptions'!$K$6+('Opportunity Assumptions'!$L$6-'Opportunity Assumptions'!$K$6)*MIN(1,(9-1)/4)+'Opportunity Assumptions'!$E$15))</x:f>
        <x:v>0.29</x:v>
      </x:c>
      <x:c r="M27" s="118" t="n">
        <x:f>MAX(3%,MIN(55%,'Opportunity Assumptions'!$K$6+('Opportunity Assumptions'!$L$6-'Opportunity Assumptions'!$K$6)*MIN(1,(10-1)/4)+'Opportunity Assumptions'!$E$15))</x:f>
        <x:v>0.29</x:v>
      </x:c>
    </x:row>
    <x:row r="28">
      <x:c r="A28" s="27" t="str">
        <x:v>EBITDA</x:v>
      </x:c>
      <x:c r="B28" s="27" t="str">
        <x:v>$m</x:v>
      </x:c>
      <x:c r="C28" s="117" t="n">
        <x:v>0</x:v>
      </x:c>
      <x:c r="D28" s="117" t="n">
        <x:f>D25*D27</x:f>
        <x:v>0.37049999999999994</x:v>
      </x:c>
      <x:c r="E28" s="117" t="n">
        <x:f>E25*E27</x:f>
        <x:v>0.5500431599999999</x:v>
      </x:c>
      <x:c r="F28" s="117" t="n">
        <x:f>F25*F27</x:f>
        <x:v>0.7726197424679999</x:v>
      </x:c>
      <x:c r="G28" s="117" t="n">
        <x:f>G25*G27</x:f>
        <x:v>1.0458879870956699</x:v>
      </x:c>
      <x:c r="H28" s="117" t="n">
        <x:f>H25*H27</x:f>
        <x:v>1.379563906946724</x:v>
      </x:c>
      <x:c r="I28" s="117" t="n">
        <x:f>I25*I27</x:f>
        <x:v>1.5687021185891197</x:v>
      </x:c>
      <x:c r="J28" s="117" t="n">
        <x:f>J25*J27</x:f>
        <x:v>1.7837711790476882</x:v>
      </x:c>
      <x:c r="K28" s="117" t="n">
        <x:f>K25*K27</x:f>
        <x:v>2.0283262076951263</x:v>
      </x:c>
      <x:c r="L28" s="117" t="n">
        <x:f>L25*L27</x:f>
        <x:v>2.3064097307701283</x:v>
      </x:c>
      <x:c r="M28" s="117" t="n">
        <x:f>M25*M27</x:f>
        <x:v>2.6226185048587127</x:v>
      </x:c>
    </x:row>
    <x:row r="29">
      <x:c r="A29" s="27" t="str">
        <x:v>D&amp;A</x:v>
      </x:c>
      <x:c r="B29" s="27" t="str">
        <x:v>$m</x:v>
      </x:c>
      <x:c r="C29" s="117" t="n">
        <x:v>0</x:v>
      </x:c>
      <x:c r="D29" s="117" t="n">
        <x:f>D25*'Opportunity Assumptions'!$M$6</x:f>
        <x:v>0.07125</x:v>
      </x:c>
      <x:c r="E29" s="117" t="n">
        <x:f>E25*'Opportunity Assumptions'!$M$6</x:f>
        <x:v>0.0808887</x:v>
      </x:c>
      <x:c r="F29" s="117" t="n">
        <x:f>F25*'Opportunity Assumptions'!$M$6</x:f>
        <x:v>0.09197854077</x:v>
      </x:c>
      <x:c r="G29" s="117" t="n">
        <x:f>G25*'Opportunity Assumptions'!$M$6</x:f>
        <x:v>0.104588798709567</x:v>
      </x:c>
      <x:c r="H29" s="117" t="n">
        <x:f>H25*'Opportunity Assumptions'!$M$6</x:f>
        <x:v>0.11892792301264864</x:v>
      </x:c>
      <x:c r="I29" s="117" t="n">
        <x:f>I25*'Opportunity Assumptions'!$M$6</x:f>
        <x:v>0.13523294125768276</x:v>
      </x:c>
      <x:c r="J29" s="117" t="n">
        <x:f>J25*'Opportunity Assumptions'!$M$6</x:f>
        <x:v>0.15377337750411108</x:v>
      </x:c>
      <x:c r="K29" s="117" t="n">
        <x:f>K25*'Opportunity Assumptions'!$M$6</x:f>
        <x:v>0.17485570755992472</x:v>
      </x:c>
      <x:c r="L29" s="117" t="n">
        <x:f>L25*'Opportunity Assumptions'!$M$6</x:f>
        <x:v>0.1988284250663904</x:v>
      </x:c>
      <x:c r="M29" s="117" t="n">
        <x:f>M25*'Opportunity Assumptions'!$M$6</x:f>
        <x:v>0.2260878021429925</x:v>
      </x:c>
    </x:row>
    <x:row r="30">
      <x:c r="A30" s="27" t="str">
        <x:v>EBIT</x:v>
      </x:c>
      <x:c r="B30" s="27" t="str">
        <x:v>$m</x:v>
      </x:c>
      <x:c r="C30" s="117" t="n">
        <x:v>0</x:v>
      </x:c>
      <x:c r="D30" s="117" t="n">
        <x:f>D28-D29</x:f>
        <x:v>0.29924999999999996</x:v>
      </x:c>
      <x:c r="E30" s="117" t="n">
        <x:f>E28-E29</x:f>
        <x:v>0.4691544599999999</x:v>
      </x:c>
      <x:c r="F30" s="117" t="n">
        <x:f>F28-F29</x:f>
        <x:v>0.6806412016979999</x:v>
      </x:c>
      <x:c r="G30" s="117" t="n">
        <x:f>G28-G29</x:f>
        <x:v>0.9412991883861028</x:v>
      </x:c>
      <x:c r="H30" s="117" t="n">
        <x:f>H28-H29</x:f>
        <x:v>1.2606359839340755</x:v>
      </x:c>
      <x:c r="I30" s="117" t="n">
        <x:f>I28-I29</x:f>
        <x:v>1.433469177331437</x:v>
      </x:c>
      <x:c r="J30" s="117" t="n">
        <x:f>J28-J29</x:f>
        <x:v>1.6299978015435772</x:v>
      </x:c>
      <x:c r="K30" s="117" t="n">
        <x:f>K28-K29</x:f>
        <x:v>1.8534705001352016</x:v>
      </x:c>
      <x:c r="L30" s="117" t="n">
        <x:f>L28-L29</x:f>
        <x:v>2.107581305703738</x:v>
      </x:c>
      <x:c r="M30" s="117" t="n">
        <x:f>M28-M29</x:f>
        <x:v>2.39653070271572</x:v>
      </x:c>
    </x:row>
    <x:row r="31">
      <x:c r="A31" s="27" t="str">
        <x:v>Corporate tax</x:v>
      </x:c>
      <x:c r="B31" s="27" t="str">
        <x:v>$m</x:v>
      </x:c>
      <x:c r="C31" s="117" t="n">
        <x:v>0</x:v>
      </x:c>
      <x:c r="D31" s="117" t="n">
        <x:f>MAX(0,D30)*'Opportunity Assumptions'!$D$20</x:f>
        <x:v>0.05386499999999999</x:v>
      </x:c>
      <x:c r="E31" s="117" t="n">
        <x:f>MAX(0,E30)*'Opportunity Assumptions'!$D$21</x:f>
        <x:v>0.08444780279999997</x:v>
      </x:c>
      <x:c r="F31" s="117" t="n">
        <x:f>MAX(0,F30)*'Opportunity Assumptions'!$D$22</x:f>
        <x:v>0.12251541630563997</x:v>
      </x:c>
      <x:c r="G31" s="117" t="n">
        <x:f>MAX(0,G30)*'Opportunity Assumptions'!$D$23</x:f>
        <x:v>0.1694338539094985</x:v>
      </x:c>
      <x:c r="H31" s="117" t="n">
        <x:f>MAX(0,H30)*'Opportunity Assumptions'!$D$24</x:f>
        <x:v>0.2269144771081336</x:v>
      </x:c>
      <x:c r="I31" s="117" t="n">
        <x:f>MAX(0,I30)*'Opportunity Assumptions'!$D$25</x:f>
        <x:v>0.25802445191965867</x:v>
      </x:c>
      <x:c r="J31" s="117" t="n">
        <x:f>MAX(0,J30)*'Opportunity Assumptions'!$D$26</x:f>
        <x:v>0.2933996042778439</x:v>
      </x:c>
      <x:c r="K31" s="117" t="n">
        <x:f>MAX(0,K30)*'Opportunity Assumptions'!$D$27</x:f>
        <x:v>0.33362469002433626</x:v>
      </x:c>
      <x:c r="L31" s="117" t="n">
        <x:f>MAX(0,L30)*'Opportunity Assumptions'!$D$28</x:f>
        <x:v>0.37936463502667284</x:v>
      </x:c>
      <x:c r="M31" s="117" t="n">
        <x:f>MAX(0,M30)*'Opportunity Assumptions'!$D$29</x:f>
        <x:v>0.4313755264888296</x:v>
      </x:c>
    </x:row>
    <x:row r="32">
      <x:c r="A32" s="27" t="str">
        <x:v>Capex</x:v>
      </x:c>
      <x:c r="B32" s="27" t="str">
        <x:v>$m</x:v>
      </x:c>
      <x:c r="C32" s="117" t="n">
        <x:v>0</x:v>
      </x:c>
      <x:c r="D32" s="117" t="n">
        <x:f>D25*'Opportunity Assumptions'!$N$6</x:f>
        <x:v>0.12824999999999998</x:v>
      </x:c>
      <x:c r="E32" s="117" t="n">
        <x:f>E25*'Opportunity Assumptions'!$N$6</x:f>
        <x:v>0.14559966</x:v>
      </x:c>
      <x:c r="F32" s="117" t="n">
        <x:f>F25*'Opportunity Assumptions'!$N$6</x:f>
        <x:v>0.165561373386</x:v>
      </x:c>
      <x:c r="G32" s="117" t="n">
        <x:f>G25*'Opportunity Assumptions'!$N$6</x:f>
        <x:v>0.18825983767722057</x:v>
      </x:c>
      <x:c r="H32" s="117" t="n">
        <x:f>H25*'Opportunity Assumptions'!$N$6</x:f>
        <x:v>0.21407026142276753</x:v>
      </x:c>
      <x:c r="I32" s="117" t="n">
        <x:f>I25*'Opportunity Assumptions'!$N$6</x:f>
        <x:v>0.24341929426382894</x:v>
      </x:c>
      <x:c r="J32" s="117" t="n">
        <x:f>J25*'Opportunity Assumptions'!$N$6</x:f>
        <x:v>0.2767920795073999</x:v>
      </x:c>
      <x:c r="K32" s="117" t="n">
        <x:f>K25*'Opportunity Assumptions'!$N$6</x:f>
        <x:v>0.31474027360786444</x:v>
      </x:c>
      <x:c r="L32" s="117" t="n">
        <x:f>L25*'Opportunity Assumptions'!$N$6</x:f>
        <x:v>0.3578911651195027</x:v>
      </x:c>
      <x:c r="M32" s="117" t="n">
        <x:f>M25*'Opportunity Assumptions'!$N$6</x:f>
        <x:v>0.4069580438573865</x:v>
      </x:c>
    </x:row>
    <x:row r="33">
      <x:c r="A33" s="27" t="str">
        <x:v>Change in NWC</x:v>
      </x:c>
      <x:c r="B33" s="27" t="str">
        <x:v>$m</x:v>
      </x:c>
      <x:c r="C33" s="117" t="n">
        <x:v>0</x:v>
      </x:c>
      <x:c r="D33" s="117" t="n">
        <x:f>0</x:f>
        <x:v>0</x:v>
      </x:c>
      <x:c r="E33" s="117" t="n">
        <x:f>(E25-D25)*'Opportunity Assumptions'!$O$6</x:f>
        <x:v>0.03469932</x:v>
      </x:c>
      <x:c r="F33" s="117" t="n">
        <x:f>(F25-E25)*'Opportunity Assumptions'!$O$6</x:f>
        <x:v>0.03992342677200001</x:v>
      </x:c>
      <x:c r="G33" s="117" t="n">
        <x:f>(G25-F25)*'Opportunity Assumptions'!$O$6</x:f>
        <x:v>0.045396928582441175</x:v>
      </x:c>
      <x:c r="H33" s="117" t="n">
        <x:f>(H25-G25)*'Opportunity Assumptions'!$O$6</x:f>
        <x:v>0.051620847491093906</x:v>
      </x:c>
      <x:c r="I33" s="117" t="n">
        <x:f>(I25-H25)*'Opportunity Assumptions'!$O$6</x:f>
        <x:v>0.05869806568212283</x:v>
      </x:c>
      <x:c r="J33" s="117" t="n">
        <x:f>(J25-I25)*'Opportunity Assumptions'!$O$6</x:f>
        <x:v>0.06674557048714193</x:v>
      </x:c>
      <x:c r="K33" s="117" t="n">
        <x:f>(K25-J25)*'Opportunity Assumptions'!$O$6</x:f>
        <x:v>0.07589638820092909</x:v>
      </x:c>
      <x:c r="L33" s="117" t="n">
        <x:f>(L25-K25)*'Opportunity Assumptions'!$O$6</x:f>
        <x:v>0.08630178302327644</x:v>
      </x:c>
      <x:c r="M33" s="117" t="n">
        <x:f>(M25-L25)*'Opportunity Assumptions'!$O$6</x:f>
        <x:v>0.0981337574757676</x:v>
      </x:c>
    </x:row>
    <x:row r="34">
      <x:c r="A34" s="27" t="str">
        <x:v>Free cash flow</x:v>
      </x:c>
      <x:c r="B34" s="27" t="str">
        <x:v>$m</x:v>
      </x:c>
      <x:c r="C34" s="117" t="n">
        <x:v>0</x:v>
      </x:c>
      <x:c r="D34" s="117" t="n">
        <x:f>D28-D31-D32-D33</x:f>
        <x:v>0.18838499999999997</x:v>
      </x:c>
      <x:c r="E34" s="117" t="n">
        <x:f>E28-E31-E32-E33</x:f>
        <x:v>0.2852963771999999</x:v>
      </x:c>
      <x:c r="F34" s="117" t="n">
        <x:f>F28-F31-F32-F33</x:f>
        <x:v>0.44461952600435994</x:v>
      </x:c>
      <x:c r="G34" s="117" t="n">
        <x:f>G28-G31-G32-G33</x:f>
        <x:v>0.6427973669265097</x:v>
      </x:c>
      <x:c r="H34" s="117" t="n">
        <x:f>H28-H31-H32-H33</x:f>
        <x:v>0.8869583209247291</x:v>
      </x:c>
      <x:c r="I34" s="117" t="n">
        <x:f>I28-I31-I32-I33</x:f>
        <x:v>1.0085603067235094</x:v>
      </x:c>
      <x:c r="J34" s="117" t="n">
        <x:f>J28-J31-J32-J33</x:f>
        <x:v>1.1468339247753023</x:v>
      </x:c>
      <x:c r="K34" s="117" t="n">
        <x:f>K28-K31-K32-K33</x:f>
        <x:v>1.3040648558619965</x:v>
      </x:c>
      <x:c r="L34" s="117" t="n">
        <x:f>L28-L31-L32-L33</x:f>
        <x:v>1.4828521476006764</x:v>
      </x:c>
      <x:c r="M34" s="117" t="n">
        <x:f>M28-M31-M32-M33</x:f>
        <x:v>1.686151177036729</x:v>
      </x:c>
    </x:row>
    <x:row r="35">
      <x:c r="A35" s="27" t="str">
        <x:v>Terminal value</x:v>
      </x:c>
      <x:c r="B35" s="27" t="str">
        <x:v>$m</x:v>
      </x:c>
      <x:c r="C35" s="117" t="n">
        <x:v>0</x:v>
      </x:c>
      <x:c r="D35" s="117" t="n">
        <x:f>0</x:f>
        <x:v>0</x:v>
      </x:c>
      <x:c r="E35" s="117" t="n">
        <x:f>0</x:f>
        <x:v>0</x:v>
      </x:c>
      <x:c r="F35" s="117" t="n">
        <x:f>0</x:f>
        <x:v>0</x:v>
      </x:c>
      <x:c r="G35" s="117" t="n">
        <x:f>0</x:f>
        <x:v>0</x:v>
      </x:c>
      <x:c r="H35" s="117" t="n">
        <x:f>0</x:f>
        <x:v>0</x:v>
      </x:c>
      <x:c r="I35" s="117" t="n">
        <x:f>0</x:f>
        <x:v>0</x:v>
      </x:c>
      <x:c r="J35" s="117" t="n">
        <x:f>0</x:f>
        <x:v>0</x:v>
      </x:c>
      <x:c r="K35" s="117" t="n">
        <x:f>0</x:f>
        <x:v>0</x:v>
      </x:c>
      <x:c r="L35" s="117" t="n">
        <x:f>0</x:f>
        <x:v>0</x:v>
      </x:c>
      <x:c r="M35" s="117" t="n">
        <x:f>M28*'Opportunity Assumptions'!$P$6*'Opportunity Assumptions'!$F$15</x:f>
        <x:v>18.358329534010988</x:v>
      </x:c>
    </x:row>
    <x:row r="36">
      <x:c r="A36" s="119" t="str">
        <x:v>Equity cash flow</x:v>
      </x:c>
      <x:c r="B36" s="119" t="str">
        <x:v>$m</x:v>
      </x:c>
      <x:c r="C36" s="120" t="n">
        <x:f>-'Opportunity Assumptions'!$D$6</x:f>
        <x:v>-3</x:v>
      </x:c>
      <x:c r="D36" s="120" t="n">
        <x:f>IF(1&lt;='Opportunity Assumptions'!$H$15,MIN(0,D34),D34)+D35</x:f>
        <x:v>0</x:v>
      </x:c>
      <x:c r="E36" s="120" t="n">
        <x:f>IF(2&lt;='Opportunity Assumptions'!$H$15,MIN(0,E34),E34)+E35</x:f>
        <x:v>0</x:v>
      </x:c>
      <x:c r="F36" s="120" t="n">
        <x:f>IF(3&lt;='Opportunity Assumptions'!$H$15,MIN(0,F34),F34)+F35</x:f>
        <x:v>0.44461952600435994</x:v>
      </x:c>
      <x:c r="G36" s="120" t="n">
        <x:f>IF(4&lt;='Opportunity Assumptions'!$H$15,MIN(0,G34),G34)+G35</x:f>
        <x:v>0.6427973669265097</x:v>
      </x:c>
      <x:c r="H36" s="120" t="n">
        <x:f>IF(5&lt;='Opportunity Assumptions'!$H$15,MIN(0,H34),H34)+H35</x:f>
        <x:v>0.8869583209247291</x:v>
      </x:c>
      <x:c r="I36" s="120" t="n">
        <x:f>IF(6&lt;='Opportunity Assumptions'!$H$15,MIN(0,I34),I34)+I35</x:f>
        <x:v>1.0085603067235094</x:v>
      </x:c>
      <x:c r="J36" s="120" t="n">
        <x:f>IF(7&lt;='Opportunity Assumptions'!$H$15,MIN(0,J34),J34)+J35</x:f>
        <x:v>1.1468339247753023</x:v>
      </x:c>
      <x:c r="K36" s="120" t="n">
        <x:f>IF(8&lt;='Opportunity Assumptions'!$H$15,MIN(0,K34),K34)+K35</x:f>
        <x:v>1.3040648558619965</x:v>
      </x:c>
      <x:c r="L36" s="120" t="n">
        <x:f>IF(9&lt;='Opportunity Assumptions'!$H$15,MIN(0,L34),L34)+L35</x:f>
        <x:v>1.4828521476006764</x:v>
      </x:c>
      <x:c r="M36" s="120" t="n">
        <x:f>IF(10&lt;='Opportunity Assumptions'!$H$15,MIN(0,M34),M34)+M35</x:f>
        <x:v>20.04448071104772</x:v>
      </x:c>
    </x:row>
    <x:row r="37">
      <x:c r="A37" s="27" t="str">
        <x:v>Gross USD IRR</x:v>
      </x:c>
      <x:c r="B37" s="27" t="str">
        <x:v>%</x:v>
      </x:c>
      <x:c r="C37" s="118" t="n">
        <x:f>IF(AND(MIN(C36:M36)&lt;0,MAX(C36:M36)&gt;0),IRR(C36:M36),"")</x:f>
        <x:v>0.28945900134202845</x:v>
      </x:c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</x:row>
    <x:row r="38">
      <x:c r="A38" s="27" t="str">
        <x:v>Gross USD MOIC</x:v>
      </x:c>
      <x:c r="B38" s="27" t="str">
        <x:v>x</x:v>
      </x:c>
      <x:c r="C38" s="121" t="n">
        <x:f>SUMIF(C36:M36,"&gt;0",C36:M36)/-SUMIF(C36:M36,"&lt;0",C36:M36)</x:f>
        <x:v>8.987055719954933</x:v>
      </x:c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</x:row>
    <x:row r="39">
      <x:c r="A39" s="27" t="str">
        <x:v>NPV @ 20%</x:v>
      </x:c>
      <x:c r="B39" s="27" t="str">
        <x:v>$m</x:v>
      </x:c>
      <x:c r="C39" s="117" t="n">
        <x:f>NPV('Opportunity Assumptions'!$E$20,D36:M36)+C36</x:f>
        <x:v>2.4095337722002963</x:v>
      </x:c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</x:row>
    <x:row r="41">
      <x:c r="A41" s="32" t="str">
        <x:v>Civilian dual-use sensing &amp; autonomy platform — Upside</x:v>
      </x:c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</x:row>
    <x:row r="42">
      <x:c r="A42" s="28" t="str">
        <x:v>Metric</x:v>
      </x:c>
      <x:c r="B42" s="28" t="str">
        <x:v>Units</x:v>
      </x:c>
      <x:c r="C42" s="28" t="n">
        <x:v>0</x:v>
      </x:c>
      <x:c r="D42" s="28" t="n">
        <x:v>1</x:v>
      </x:c>
      <x:c r="E42" s="28" t="n">
        <x:v>2</x:v>
      </x:c>
      <x:c r="F42" s="28" t="n">
        <x:v>3</x:v>
      </x:c>
      <x:c r="G42" s="28" t="n">
        <x:v>4</x:v>
      </x:c>
      <x:c r="H42" s="28" t="n">
        <x:v>5</x:v>
      </x:c>
      <x:c r="I42" s="28" t="n">
        <x:v>6</x:v>
      </x:c>
      <x:c r="J42" s="28" t="n">
        <x:v>7</x:v>
      </x:c>
      <x:c r="K42" s="28" t="n">
        <x:v>8</x:v>
      </x:c>
      <x:c r="L42" s="28" t="n">
        <x:v>9</x:v>
      </x:c>
      <x:c r="M42" s="28" t="n">
        <x:v>10</x:v>
      </x:c>
    </x:row>
    <x:row r="43">
      <x:c r="A43" s="27" t="str">
        <x:v>Revenue</x:v>
      </x:c>
      <x:c r="B43" s="27" t="str">
        <x:v>$m</x:v>
      </x:c>
      <x:c r="C43" s="117" t="n">
        <x:v>0</x:v>
      </x:c>
      <x:c r="D43" s="117" t="n">
        <x:f>'Opportunity Assumptions'!$D$6*'Opportunity Assumptions'!$F$6*'Opportunity Assumptions'!$C$16</x:f>
        <x:v>3.1919999999999997</x:v>
      </x:c>
      <x:c r="E43" s="117" t="n">
        <x:f>D43*(1+E44)</x:f>
        <x:v>3.7897977599999995</x:v>
      </x:c>
      <x:c r="F43" s="117" t="n">
        <x:f>E43*(1+F44)</x:f>
        <x:v>4.5064485164159995</x:v>
      </x:c>
      <x:c r="G43" s="117" t="n">
        <x:f>F43*(1+G44)</x:f>
        <x:v>5.358617930870265</x:v>
      </x:c>
      <x:c r="H43" s="117" t="n">
        <x:f>G43*(1+H44)</x:f>
        <x:v>6.371932581597832</x:v>
      </x:c>
      <x:c r="I43" s="117" t="n">
        <x:f>H43*(1+I44)</x:f>
        <x:v>7.576865032777983</x:v>
      </x:c>
      <x:c r="J43" s="117" t="n">
        <x:f>I43*(1+J44)</x:f>
        <x:v>9.0096502104763</x:v>
      </x:c>
      <x:c r="K43" s="117" t="n">
        <x:f>J43*(1+K44)</x:f>
        <x:v>10.713375065277368</x:v>
      </x:c>
      <x:c r="L43" s="117" t="n">
        <x:f>K43*(1+L44)</x:f>
        <x:v>12.739274290121319</x:v>
      </x:c>
      <x:c r="M43" s="117" t="n">
        <x:f>L43*(1+M44)</x:f>
        <x:v>15.14827105838326</x:v>
      </x:c>
    </x:row>
    <x:row r="44">
      <x:c r="A44" s="27" t="str">
        <x:v>USD revenue growth</x:v>
      </x:c>
      <x:c r="B44" s="27" t="str">
        <x:v>%</x:v>
      </x:c>
      <x:c r="C44" s="118" t="n">
        <x:v>0</x:v>
      </x:c>
      <x:c r="D44" s="118"/>
      <x:c r="E44" s="118" t="n">
        <x:f>MAX(-20%,'Opportunity Assumptions'!$G$6+'Opportunity Assumptions'!$D$16+'Opportunity Assumptions'!$H$6*'Opportunity Assumptions'!$I$6+(1-'Opportunity Assumptions'!$H$6)*('Opportunity Assumptions'!$B$21*'Opportunity Assumptions'!$J$6-MAX(0,'Opportunity Assumptions'!$C$21+'Opportunity Assumptions'!$G$16)))</x:f>
        <x:v>0.18728</x:v>
      </x:c>
      <x:c r="F44" s="118" t="n">
        <x:f>MAX(-20%,'Opportunity Assumptions'!$G$6+'Opportunity Assumptions'!$D$16+'Opportunity Assumptions'!$H$6*'Opportunity Assumptions'!$I$6+(1-'Opportunity Assumptions'!$H$6)*('Opportunity Assumptions'!$B$22*'Opportunity Assumptions'!$J$6-MAX(0,'Opportunity Assumptions'!$C$22+'Opportunity Assumptions'!$G$16)))</x:f>
        <x:v>0.18910000000000002</x:v>
      </x:c>
      <x:c r="G44" s="118" t="n">
        <x:f>MAX(-20%,'Opportunity Assumptions'!$G$6+'Opportunity Assumptions'!$D$16+'Opportunity Assumptions'!$H$6*'Opportunity Assumptions'!$I$6+(1-'Opportunity Assumptions'!$H$6)*('Opportunity Assumptions'!$B$23*'Opportunity Assumptions'!$J$6-MAX(0,'Opportunity Assumptions'!$C$23+'Opportunity Assumptions'!$G$16)))</x:f>
        <x:v>0.18910000000000002</x:v>
      </x:c>
      <x:c r="H44" s="118" t="n">
        <x:f>MAX(-20%,'Opportunity Assumptions'!$G$6+'Opportunity Assumptions'!$D$16+'Opportunity Assumptions'!$H$6*'Opportunity Assumptions'!$I$6+(1-'Opportunity Assumptions'!$H$6)*('Opportunity Assumptions'!$B$24*'Opportunity Assumptions'!$J$6-MAX(0,'Opportunity Assumptions'!$C$24+'Opportunity Assumptions'!$G$16)))</x:f>
        <x:v>0.18910000000000002</x:v>
      </x:c>
      <x:c r="I44" s="118" t="n">
        <x:f>MAX(-20%,'Opportunity Assumptions'!$G$6+'Opportunity Assumptions'!$D$16+'Opportunity Assumptions'!$H$6*'Opportunity Assumptions'!$I$6+(1-'Opportunity Assumptions'!$H$6)*('Opportunity Assumptions'!$B$25*'Opportunity Assumptions'!$J$6-MAX(0,'Opportunity Assumptions'!$C$25+'Opportunity Assumptions'!$G$16)))</x:f>
        <x:v>0.18910000000000002</x:v>
      </x:c>
      <x:c r="J44" s="118" t="n">
        <x:f>MAX(-20%,'Opportunity Assumptions'!$G$6+'Opportunity Assumptions'!$D$16+'Opportunity Assumptions'!$H$6*'Opportunity Assumptions'!$I$6+(1-'Opportunity Assumptions'!$H$6)*('Opportunity Assumptions'!$B$26*'Opportunity Assumptions'!$J$6-MAX(0,'Opportunity Assumptions'!$C$26+'Opportunity Assumptions'!$G$16)))</x:f>
        <x:v>0.18910000000000002</x:v>
      </x:c>
      <x:c r="K44" s="118" t="n">
        <x:f>MAX(-20%,'Opportunity Assumptions'!$G$6+'Opportunity Assumptions'!$D$16+'Opportunity Assumptions'!$H$6*'Opportunity Assumptions'!$I$6+(1-'Opportunity Assumptions'!$H$6)*('Opportunity Assumptions'!$B$27*'Opportunity Assumptions'!$J$6-MAX(0,'Opportunity Assumptions'!$C$27+'Opportunity Assumptions'!$G$16)))</x:f>
        <x:v>0.18910000000000002</x:v>
      </x:c>
      <x:c r="L44" s="118" t="n">
        <x:f>MAX(-20%,'Opportunity Assumptions'!$G$6+'Opportunity Assumptions'!$D$16+'Opportunity Assumptions'!$H$6*'Opportunity Assumptions'!$I$6+(1-'Opportunity Assumptions'!$H$6)*('Opportunity Assumptions'!$B$28*'Opportunity Assumptions'!$J$6-MAX(0,'Opportunity Assumptions'!$C$28+'Opportunity Assumptions'!$G$16)))</x:f>
        <x:v>0.18910000000000002</x:v>
      </x:c>
      <x:c r="M44" s="118" t="n">
        <x:f>MAX(-20%,'Opportunity Assumptions'!$G$6+'Opportunity Assumptions'!$D$16+'Opportunity Assumptions'!$H$6*'Opportunity Assumptions'!$I$6+(1-'Opportunity Assumptions'!$H$6)*('Opportunity Assumptions'!$B$29*'Opportunity Assumptions'!$J$6-MAX(0,'Opportunity Assumptions'!$C$29+'Opportunity Assumptions'!$G$16)))</x:f>
        <x:v>0.18910000000000002</x:v>
      </x:c>
    </x:row>
    <x:row r="45">
      <x:c r="A45" s="27" t="str">
        <x:v>EBITDA margin</x:v>
      </x:c>
      <x:c r="B45" s="27" t="str">
        <x:v>%</x:v>
      </x:c>
      <x:c r="C45" s="118" t="n">
        <x:v>0</x:v>
      </x:c>
      <x:c r="D45" s="118" t="n">
        <x:f>MAX(3%,MIN(55%,'Opportunity Assumptions'!$K$6+('Opportunity Assumptions'!$L$6-'Opportunity Assumptions'!$K$6)*MIN(1,(1-1)/4)+'Opportunity Assumptions'!$E$16))</x:f>
        <x:v>0.165</x:v>
      </x:c>
      <x:c r="E45" s="118" t="n">
        <x:f>MAX(3%,MIN(55%,'Opportunity Assumptions'!$K$6+('Opportunity Assumptions'!$L$6-'Opportunity Assumptions'!$K$6)*MIN(1,(2-1)/4)+'Opportunity Assumptions'!$E$16))</x:f>
        <x:v>0.205</x:v>
      </x:c>
      <x:c r="F45" s="118" t="n">
        <x:f>MAX(3%,MIN(55%,'Opportunity Assumptions'!$K$6+('Opportunity Assumptions'!$L$6-'Opportunity Assumptions'!$K$6)*MIN(1,(3-1)/4)+'Opportunity Assumptions'!$E$16))</x:f>
        <x:v>0.245</x:v>
      </x:c>
      <x:c r="G45" s="118" t="n">
        <x:f>MAX(3%,MIN(55%,'Opportunity Assumptions'!$K$6+('Opportunity Assumptions'!$L$6-'Opportunity Assumptions'!$K$6)*MIN(1,(4-1)/4)+'Opportunity Assumptions'!$E$16))</x:f>
        <x:v>0.28500000000000003</x:v>
      </x:c>
      <x:c r="H45" s="118" t="n">
        <x:f>MAX(3%,MIN(55%,'Opportunity Assumptions'!$K$6+('Opportunity Assumptions'!$L$6-'Opportunity Assumptions'!$K$6)*MIN(1,(5-1)/4)+'Opportunity Assumptions'!$E$16))</x:f>
        <x:v>0.32499999999999996</x:v>
      </x:c>
      <x:c r="I45" s="118" t="n">
        <x:f>MAX(3%,MIN(55%,'Opportunity Assumptions'!$K$6+('Opportunity Assumptions'!$L$6-'Opportunity Assumptions'!$K$6)*MIN(1,(6-1)/4)+'Opportunity Assumptions'!$E$16))</x:f>
        <x:v>0.32499999999999996</x:v>
      </x:c>
      <x:c r="J45" s="118" t="n">
        <x:f>MAX(3%,MIN(55%,'Opportunity Assumptions'!$K$6+('Opportunity Assumptions'!$L$6-'Opportunity Assumptions'!$K$6)*MIN(1,(7-1)/4)+'Opportunity Assumptions'!$E$16))</x:f>
        <x:v>0.32499999999999996</x:v>
      </x:c>
      <x:c r="K45" s="118" t="n">
        <x:f>MAX(3%,MIN(55%,'Opportunity Assumptions'!$K$6+('Opportunity Assumptions'!$L$6-'Opportunity Assumptions'!$K$6)*MIN(1,(8-1)/4)+'Opportunity Assumptions'!$E$16))</x:f>
        <x:v>0.32499999999999996</x:v>
      </x:c>
      <x:c r="L45" s="118" t="n">
        <x:f>MAX(3%,MIN(55%,'Opportunity Assumptions'!$K$6+('Opportunity Assumptions'!$L$6-'Opportunity Assumptions'!$K$6)*MIN(1,(9-1)/4)+'Opportunity Assumptions'!$E$16))</x:f>
        <x:v>0.32499999999999996</x:v>
      </x:c>
      <x:c r="M45" s="118" t="n">
        <x:f>MAX(3%,MIN(55%,'Opportunity Assumptions'!$K$6+('Opportunity Assumptions'!$L$6-'Opportunity Assumptions'!$K$6)*MIN(1,(10-1)/4)+'Opportunity Assumptions'!$E$16))</x:f>
        <x:v>0.32499999999999996</x:v>
      </x:c>
    </x:row>
    <x:row r="46">
      <x:c r="A46" s="27" t="str">
        <x:v>EBITDA</x:v>
      </x:c>
      <x:c r="B46" s="27" t="str">
        <x:v>$m</x:v>
      </x:c>
      <x:c r="C46" s="117" t="n">
        <x:v>0</x:v>
      </x:c>
      <x:c r="D46" s="117" t="n">
        <x:f>D43*D45</x:f>
        <x:v>0.5266799999999999</x:v>
      </x:c>
      <x:c r="E46" s="117" t="n">
        <x:f>E43*E45</x:f>
        <x:v>0.7769085407999998</x:v>
      </x:c>
      <x:c r="F46" s="117" t="n">
        <x:f>F43*F45</x:f>
        <x:v>1.10407988652192</x:v>
      </x:c>
      <x:c r="G46" s="117" t="n">
        <x:f>G43*G45</x:f>
        <x:v>1.5272061102980257</x:v>
      </x:c>
      <x:c r="H46" s="117" t="n">
        <x:f>H43*H45</x:f>
        <x:v>2.070878089019295</x:v>
      </x:c>
      <x:c r="I46" s="117" t="n">
        <x:f>I43*I45</x:f>
        <x:v>2.462481135652844</x:v>
      </x:c>
      <x:c r="J46" s="117" t="n">
        <x:f>J43*J45</x:f>
        <x:v>2.928136318404797</x:v>
      </x:c>
      <x:c r="K46" s="117" t="n">
        <x:f>K43*K45</x:f>
        <x:v>3.4818468962151443</x:v>
      </x:c>
      <x:c r="L46" s="117" t="n">
        <x:f>L43*L45</x:f>
        <x:v>4.140264144289428</x:v>
      </x:c>
      <x:c r="M46" s="117" t="n">
        <x:f>M43*M45</x:f>
        <x:v>4.9231880939745585</x:v>
      </x:c>
    </x:row>
    <x:row r="47">
      <x:c r="A47" s="27" t="str">
        <x:v>D&amp;A</x:v>
      </x:c>
      <x:c r="B47" s="27" t="str">
        <x:v>$m</x:v>
      </x:c>
      <x:c r="C47" s="117" t="n">
        <x:v>0</x:v>
      </x:c>
      <x:c r="D47" s="117" t="n">
        <x:f>D43*'Opportunity Assumptions'!$M$6</x:f>
        <x:v>0.0798</x:v>
      </x:c>
      <x:c r="E47" s="117" t="n">
        <x:f>E43*'Opportunity Assumptions'!$M$6</x:f>
        <x:v>0.094744944</x:v>
      </x:c>
      <x:c r="F47" s="117" t="n">
        <x:f>F43*'Opportunity Assumptions'!$M$6</x:f>
        <x:v>0.11266121291039999</x:v>
      </x:c>
      <x:c r="G47" s="117" t="n">
        <x:f>G43*'Opportunity Assumptions'!$M$6</x:f>
        <x:v>0.13396544827175663</x:v>
      </x:c>
      <x:c r="H47" s="117" t="n">
        <x:f>H43*'Opportunity Assumptions'!$M$6</x:f>
        <x:v>0.1592983145399458</x:v>
      </x:c>
      <x:c r="I47" s="117" t="n">
        <x:f>I43*'Opportunity Assumptions'!$M$6</x:f>
        <x:v>0.18942162581944957</x:v>
      </x:c>
      <x:c r="J47" s="117" t="n">
        <x:f>J43*'Opportunity Assumptions'!$M$6</x:f>
        <x:v>0.22524125526190752</x:v>
      </x:c>
      <x:c r="K47" s="117" t="n">
        <x:f>K43*'Opportunity Assumptions'!$M$6</x:f>
        <x:v>0.2678343766319342</x:v>
      </x:c>
      <x:c r="L47" s="117" t="n">
        <x:f>L43*'Opportunity Assumptions'!$M$6</x:f>
        <x:v>0.318481857253033</x:v>
      </x:c>
      <x:c r="M47" s="117" t="n">
        <x:f>M43*'Opportunity Assumptions'!$M$6</x:f>
        <x:v>0.3787067764595815</x:v>
      </x:c>
    </x:row>
    <x:row r="48">
      <x:c r="A48" s="27" t="str">
        <x:v>EBIT</x:v>
      </x:c>
      <x:c r="B48" s="27" t="str">
        <x:v>$m</x:v>
      </x:c>
      <x:c r="C48" s="117" t="n">
        <x:v>0</x:v>
      </x:c>
      <x:c r="D48" s="117" t="n">
        <x:f>D46-D47</x:f>
        <x:v>0.44687999999999994</x:v>
      </x:c>
      <x:c r="E48" s="117" t="n">
        <x:f>E46-E47</x:f>
        <x:v>0.6821635967999998</x:v>
      </x:c>
      <x:c r="F48" s="117" t="n">
        <x:f>F46-F47</x:f>
        <x:v>0.9914186736115199</x:v>
      </x:c>
      <x:c r="G48" s="117" t="n">
        <x:f>G46-G47</x:f>
        <x:v>1.393240662026269</x:v>
      </x:c>
      <x:c r="H48" s="117" t="n">
        <x:f>H46-H47</x:f>
        <x:v>1.9115797744793492</x:v>
      </x:c>
      <x:c r="I48" s="117" t="n">
        <x:f>I46-I47</x:f>
        <x:v>2.2730595098333946</x:v>
      </x:c>
      <x:c r="J48" s="117" t="n">
        <x:f>J46-J47</x:f>
        <x:v>2.7028950631428894</x:v>
      </x:c>
      <x:c r="K48" s="117" t="n">
        <x:f>K46-K47</x:f>
        <x:v>3.21401251958321</x:v>
      </x:c>
      <x:c r="L48" s="117" t="n">
        <x:f>L46-L47</x:f>
        <x:v>3.8217822870363944</x:v>
      </x:c>
      <x:c r="M48" s="117" t="n">
        <x:f>M46-M47</x:f>
        <x:v>4.544481317514977</x:v>
      </x:c>
    </x:row>
    <x:row r="49">
      <x:c r="A49" s="27" t="str">
        <x:v>Corporate tax</x:v>
      </x:c>
      <x:c r="B49" s="27" t="str">
        <x:v>$m</x:v>
      </x:c>
      <x:c r="C49" s="117" t="n">
        <x:v>0</x:v>
      </x:c>
      <x:c r="D49" s="117" t="n">
        <x:f>MAX(0,D48)*'Opportunity Assumptions'!$D$20</x:f>
        <x:v>0.0804384</x:v>
      </x:c>
      <x:c r="E49" s="117" t="n">
        <x:f>MAX(0,E48)*'Opportunity Assumptions'!$D$21</x:f>
        <x:v>0.12278944742399997</x:v>
      </x:c>
      <x:c r="F49" s="117" t="n">
        <x:f>MAX(0,F48)*'Opportunity Assumptions'!$D$22</x:f>
        <x:v>0.17845536125007358</x:v>
      </x:c>
      <x:c r="G49" s="117" t="n">
        <x:f>MAX(0,G48)*'Opportunity Assumptions'!$D$23</x:f>
        <x:v>0.2507833191647284</x:v>
      </x:c>
      <x:c r="H49" s="117" t="n">
        <x:f>MAX(0,H48)*'Opportunity Assumptions'!$D$24</x:f>
        <x:v>0.34408435940628285</x:v>
      </x:c>
      <x:c r="I49" s="117" t="n">
        <x:f>MAX(0,I48)*'Opportunity Assumptions'!$D$25</x:f>
        <x:v>0.409150711770011</x:v>
      </x:c>
      <x:c r="J49" s="117" t="n">
        <x:f>MAX(0,J48)*'Opportunity Assumptions'!$D$26</x:f>
        <x:v>0.48652111136572007</x:v>
      </x:c>
      <x:c r="K49" s="117" t="n">
        <x:f>MAX(0,K48)*'Opportunity Assumptions'!$D$27</x:f>
        <x:v>0.5785222535249778</x:v>
      </x:c>
      <x:c r="L49" s="117" t="n">
        <x:f>MAX(0,L48)*'Opportunity Assumptions'!$D$28</x:f>
        <x:v>0.687920811666551</x:v>
      </x:c>
      <x:c r="M49" s="117" t="n">
        <x:f>MAX(0,M48)*'Opportunity Assumptions'!$D$29</x:f>
        <x:v>0.8180066371526958</x:v>
      </x:c>
    </x:row>
    <x:row r="50">
      <x:c r="A50" s="27" t="str">
        <x:v>Capex</x:v>
      </x:c>
      <x:c r="B50" s="27" t="str">
        <x:v>$m</x:v>
      </x:c>
      <x:c r="C50" s="117" t="n">
        <x:v>0</x:v>
      </x:c>
      <x:c r="D50" s="117" t="n">
        <x:f>D43*'Opportunity Assumptions'!$N$6</x:f>
        <x:v>0.14364</x:v>
      </x:c>
      <x:c r="E50" s="117" t="n">
        <x:f>E43*'Opportunity Assumptions'!$N$6</x:f>
        <x:v>0.17054089919999996</x:v>
      </x:c>
      <x:c r="F50" s="117" t="n">
        <x:f>F43*'Opportunity Assumptions'!$N$6</x:f>
        <x:v>0.20279018323871997</x:v>
      </x:c>
      <x:c r="G50" s="117" t="n">
        <x:f>G43*'Opportunity Assumptions'!$N$6</x:f>
        <x:v>0.24113780688916192</x:v>
      </x:c>
      <x:c r="H50" s="117" t="n">
        <x:f>H43*'Opportunity Assumptions'!$N$6</x:f>
        <x:v>0.2867369661719024</x:v>
      </x:c>
      <x:c r="I50" s="117" t="n">
        <x:f>I43*'Opportunity Assumptions'!$N$6</x:f>
        <x:v>0.3409589264750092</x:v>
      </x:c>
      <x:c r="J50" s="117" t="n">
        <x:f>J43*'Opportunity Assumptions'!$N$6</x:f>
        <x:v>0.40543425947143347</x:v>
      </x:c>
      <x:c r="K50" s="117" t="n">
        <x:f>K43*'Opportunity Assumptions'!$N$6</x:f>
        <x:v>0.48210187793748155</x:v>
      </x:c>
      <x:c r="L50" s="117" t="n">
        <x:f>L43*'Opportunity Assumptions'!$N$6</x:f>
        <x:v>0.5732673430554593</x:v>
      </x:c>
      <x:c r="M50" s="117" t="n">
        <x:f>M43*'Opportunity Assumptions'!$N$6</x:f>
        <x:v>0.6816721976272467</x:v>
      </x:c>
    </x:row>
    <x:row r="51">
      <x:c r="A51" s="27" t="str">
        <x:v>Change in NWC</x:v>
      </x:c>
      <x:c r="B51" s="27" t="str">
        <x:v>$m</x:v>
      </x:c>
      <x:c r="C51" s="117" t="n">
        <x:v>0</x:v>
      </x:c>
      <x:c r="D51" s="117" t="n">
        <x:f>0</x:f>
        <x:v>0</x:v>
      </x:c>
      <x:c r="E51" s="117" t="n">
        <x:f>(E43-D43)*'Opportunity Assumptions'!$O$6</x:f>
        <x:v>0.053801798399999975</x:v>
      </x:c>
      <x:c r="F51" s="117" t="n">
        <x:f>(F43-E43)*'Opportunity Assumptions'!$O$6</x:f>
        <x:v>0.06449856807744</x:v>
      </x:c>
      <x:c r="G51" s="117" t="n">
        <x:f>(G43-F43)*'Opportunity Assumptions'!$O$6</x:f>
        <x:v>0.0766952473008839</x:v>
      </x:c>
      <x:c r="H51" s="117" t="n">
        <x:f>(H43-G43)*'Opportunity Assumptions'!$O$6</x:f>
        <x:v>0.09119831856548105</x:v>
      </x:c>
      <x:c r="I51" s="117" t="n">
        <x:f>(I43-H43)*'Opportunity Assumptions'!$O$6</x:f>
        <x:v>0.10844392060621354</x:v>
      </x:c>
      <x:c r="J51" s="117" t="n">
        <x:f>(J43-I43)*'Opportunity Assumptions'!$O$6</x:f>
        <x:v>0.12895066599284855</x:v>
      </x:c>
      <x:c r="K51" s="117" t="n">
        <x:f>(K43-J43)*'Opportunity Assumptions'!$O$6</x:f>
        <x:v>0.15333523693209614</x:v>
      </x:c>
      <x:c r="L51" s="117" t="n">
        <x:f>(L43-K43)*'Opportunity Assumptions'!$O$6</x:f>
        <x:v>0.18233093023595554</x:v>
      </x:c>
      <x:c r="M51" s="117" t="n">
        <x:f>(M43-L43)*'Opportunity Assumptions'!$O$6</x:f>
        <x:v>0.2168097091435747</x:v>
      </x:c>
    </x:row>
    <x:row r="52">
      <x:c r="A52" s="27" t="str">
        <x:v>Free cash flow</x:v>
      </x:c>
      <x:c r="B52" s="27" t="str">
        <x:v>$m</x:v>
      </x:c>
      <x:c r="C52" s="117" t="n">
        <x:v>0</x:v>
      </x:c>
      <x:c r="D52" s="117" t="n">
        <x:f>D46-D49-D50-D51</x:f>
        <x:v>0.3026015999999999</x:v>
      </x:c>
      <x:c r="E52" s="117" t="n">
        <x:f>E46-E49-E50-E51</x:f>
        <x:v>0.4297763957759999</x:v>
      </x:c>
      <x:c r="F52" s="117" t="n">
        <x:f>F46-F49-F50-F51</x:f>
        <x:v>0.6583357739556863</x:v>
      </x:c>
      <x:c r="G52" s="117" t="n">
        <x:f>G46-G49-G50-G51</x:f>
        <x:v>0.9585897369432514</x:v>
      </x:c>
      <x:c r="H52" s="117" t="n">
        <x:f>H46-H49-H50-H51</x:f>
        <x:v>1.348858444875629</x:v>
      </x:c>
      <x:c r="I52" s="117" t="n">
        <x:f>I46-I49-I50-I51</x:f>
        <x:v>1.6039275768016104</x:v>
      </x:c>
      <x:c r="J52" s="117" t="n">
        <x:f>J46-J49-J50-J51</x:f>
        <x:v>1.9072302815747952</x:v>
      </x:c>
      <x:c r="K52" s="117" t="n">
        <x:f>K46-K49-K50-K51</x:f>
        <x:v>2.267887527820589</x:v>
      </x:c>
      <x:c r="L52" s="117" t="n">
        <x:f>L46-L49-L50-L51</x:f>
        <x:v>2.696745059331462</x:v>
      </x:c>
      <x:c r="M52" s="117" t="n">
        <x:f>M46-M49-M50-M51</x:f>
        <x:v>3.2066995500510416</x:v>
      </x:c>
    </x:row>
    <x:row r="53">
      <x:c r="A53" s="27" t="str">
        <x:v>Terminal value</x:v>
      </x:c>
      <x:c r="B53" s="27" t="str">
        <x:v>$m</x:v>
      </x:c>
      <x:c r="C53" s="117" t="n">
        <x:v>0</x:v>
      </x:c>
      <x:c r="D53" s="117" t="n">
        <x:f>0</x:f>
        <x:v>0</x:v>
      </x:c>
      <x:c r="E53" s="117" t="n">
        <x:f>0</x:f>
        <x:v>0</x:v>
      </x:c>
      <x:c r="F53" s="117" t="n">
        <x:f>0</x:f>
        <x:v>0</x:v>
      </x:c>
      <x:c r="G53" s="117" t="n">
        <x:f>0</x:f>
        <x:v>0</x:v>
      </x:c>
      <x:c r="H53" s="117" t="n">
        <x:f>0</x:f>
        <x:v>0</x:v>
      </x:c>
      <x:c r="I53" s="117" t="n">
        <x:f>0</x:f>
        <x:v>0</x:v>
      </x:c>
      <x:c r="J53" s="117" t="n">
        <x:f>0</x:f>
        <x:v>0</x:v>
      </x:c>
      <x:c r="K53" s="117" t="n">
        <x:f>0</x:f>
        <x:v>0</x:v>
      </x:c>
      <x:c r="L53" s="117" t="n">
        <x:f>0</x:f>
        <x:v>0</x:v>
      </x:c>
      <x:c r="M53" s="117" t="n">
        <x:f>M46*'Opportunity Assumptions'!$P$6*'Opportunity Assumptions'!$F$16</x:f>
        <x:v>44.11176532201204</x:v>
      </x:c>
    </x:row>
    <x:row r="54">
      <x:c r="A54" s="119" t="str">
        <x:v>Equity cash flow</x:v>
      </x:c>
      <x:c r="B54" s="119" t="str">
        <x:v>$m</x:v>
      </x:c>
      <x:c r="C54" s="120" t="n">
        <x:f>-'Opportunity Assumptions'!$D$6</x:f>
        <x:v>-3</x:v>
      </x:c>
      <x:c r="D54" s="120" t="n">
        <x:f>IF(1&lt;='Opportunity Assumptions'!$H$16,MIN(0,D52),D52)+D53</x:f>
        <x:v>0</x:v>
      </x:c>
      <x:c r="E54" s="120" t="n">
        <x:f>IF(2&lt;='Opportunity Assumptions'!$H$16,MIN(0,E52),E52)+E53</x:f>
        <x:v>0.4297763957759999</x:v>
      </x:c>
      <x:c r="F54" s="120" t="n">
        <x:f>IF(3&lt;='Opportunity Assumptions'!$H$16,MIN(0,F52),F52)+F53</x:f>
        <x:v>0.6583357739556863</x:v>
      </x:c>
      <x:c r="G54" s="120" t="n">
        <x:f>IF(4&lt;='Opportunity Assumptions'!$H$16,MIN(0,G52),G52)+G53</x:f>
        <x:v>0.9585897369432514</x:v>
      </x:c>
      <x:c r="H54" s="120" t="n">
        <x:f>IF(5&lt;='Opportunity Assumptions'!$H$16,MIN(0,H52),H52)+H53</x:f>
        <x:v>1.348858444875629</x:v>
      </x:c>
      <x:c r="I54" s="120" t="n">
        <x:f>IF(6&lt;='Opportunity Assumptions'!$H$16,MIN(0,I52),I52)+I53</x:f>
        <x:v>1.6039275768016104</x:v>
      </x:c>
      <x:c r="J54" s="120" t="n">
        <x:f>IF(7&lt;='Opportunity Assumptions'!$H$16,MIN(0,J52),J52)+J53</x:f>
        <x:v>1.9072302815747952</x:v>
      </x:c>
      <x:c r="K54" s="120" t="n">
        <x:f>IF(8&lt;='Opportunity Assumptions'!$H$16,MIN(0,K52),K52)+K53</x:f>
        <x:v>2.267887527820589</x:v>
      </x:c>
      <x:c r="L54" s="120" t="n">
        <x:f>IF(9&lt;='Opportunity Assumptions'!$H$16,MIN(0,L52),L52)+L53</x:f>
        <x:v>2.696745059331462</x:v>
      </x:c>
      <x:c r="M54" s="120" t="n">
        <x:f>IF(10&lt;='Opportunity Assumptions'!$H$16,MIN(0,M52),M52)+M53</x:f>
        <x:v>47.31846487206308</x:v>
      </x:c>
    </x:row>
    <x:row r="55">
      <x:c r="A55" s="27" t="str">
        <x:v>Gross USD IRR</x:v>
      </x:c>
      <x:c r="B55" s="27" t="str">
        <x:v>%</x:v>
      </x:c>
      <x:c r="C55" s="118" t="n">
        <x:f>IF(AND(MIN(C54:M54)&lt;0,MAX(C54:M54)&gt;0),IRR(C54:M54),"")</x:f>
        <x:v>0.41637875316416323</x:v>
      </x:c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</x:row>
    <x:row r="56">
      <x:c r="A56" s="27" t="str">
        <x:v>Gross USD MOIC</x:v>
      </x:c>
      <x:c r="B56" s="27" t="str">
        <x:v>x</x:v>
      </x:c>
      <x:c r="C56" s="121" t="n">
        <x:f>SUMIF(C54:M54,"&gt;0",C54:M54)/-SUMIF(C54:M54,"&lt;0",C54:M54)</x:f>
        <x:v>19.729938556380702</x:v>
      </x:c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</x:row>
    <x:row r="57">
      <x:c r="A57" s="27" t="str">
        <x:v>NPV @ 20%</x:v>
      </x:c>
      <x:c r="B57" s="27" t="str">
        <x:v>$m</x:v>
      </x:c>
      <x:c r="C57" s="117" t="n">
        <x:f>NPV('Opportunity Assumptions'!$E$20,D54:M54)+C54</x:f>
        <x:v>8.445502731696793</x:v>
      </x:c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</x:row>
    <x:row r="59">
      <x:c r="A59" s="32" t="str">
        <x:v>Soy/protein processing &amp; traceable ingredients — Downside</x:v>
      </x:c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</x:row>
    <x:row r="60">
      <x:c r="A60" s="28" t="str">
        <x:v>Metric</x:v>
      </x:c>
      <x:c r="B60" s="28" t="str">
        <x:v>Units</x:v>
      </x:c>
      <x:c r="C60" s="28" t="n">
        <x:v>0</x:v>
      </x:c>
      <x:c r="D60" s="28" t="n">
        <x:v>1</x:v>
      </x:c>
      <x:c r="E60" s="28" t="n">
        <x:v>2</x:v>
      </x:c>
      <x:c r="F60" s="28" t="n">
        <x:v>3</x:v>
      </x:c>
      <x:c r="G60" s="28" t="n">
        <x:v>4</x:v>
      </x:c>
      <x:c r="H60" s="28" t="n">
        <x:v>5</x:v>
      </x:c>
      <x:c r="I60" s="28" t="n">
        <x:v>6</x:v>
      </x:c>
      <x:c r="J60" s="28" t="n">
        <x:v>7</x:v>
      </x:c>
      <x:c r="K60" s="28" t="n">
        <x:v>8</x:v>
      </x:c>
      <x:c r="L60" s="28" t="n">
        <x:v>9</x:v>
      </x:c>
      <x:c r="M60" s="28" t="n">
        <x:v>10</x:v>
      </x:c>
    </x:row>
    <x:row r="61">
      <x:c r="A61" s="27" t="str">
        <x:v>Revenue</x:v>
      </x:c>
      <x:c r="B61" s="27" t="str">
        <x:v>$m</x:v>
      </x:c>
      <x:c r="C61" s="117" t="n">
        <x:v>0</x:v>
      </x:c>
      <x:c r="D61" s="117" t="n">
        <x:f>'Opportunity Assumptions'!$D$7*'Opportunity Assumptions'!$F$7*'Opportunity Assumptions'!$C$14</x:f>
        <x:v>4.050000000000001</x:v>
      </x:c>
      <x:c r="E61" s="117" t="n">
        <x:f>D61*(1+E62)</x:f>
        <x:v>4.035825000000001</x:v>
      </x:c>
      <x:c r="F61" s="117" t="n">
        <x:f>E61*(1+F62)</x:f>
        <x:v>4.025230959375001</x:v>
      </x:c>
      <x:c r="G61" s="117" t="n">
        <x:f>F61*(1+G62)</x:f>
        <x:v>4.014664728106642</x:v>
      </x:c>
      <x:c r="H61" s="117" t="n">
        <x:f>G61*(1+H62)</x:f>
        <x:v>4.004126233195363</x:v>
      </x:c>
      <x:c r="I61" s="117" t="n">
        <x:f>H61*(1+I62)</x:f>
        <x:v>3.993615401833225</x:v>
      </x:c>
      <x:c r="J61" s="117" t="n">
        <x:f>I61*(1+J62)</x:f>
        <x:v>3.9831321614034128</x:v>
      </x:c>
      <x:c r="K61" s="117" t="n">
        <x:f>J61*(1+K62)</x:f>
        <x:v>3.972676439479729</x:v>
      </x:c>
      <x:c r="L61" s="117" t="n">
        <x:f>K61*(1+L62)</x:f>
        <x:v>3.9622481638260947</x:v>
      </x:c>
      <x:c r="M61" s="117" t="n">
        <x:f>L61*(1+M62)</x:f>
        <x:v>3.9518472623960514</x:v>
      </x:c>
    </x:row>
    <x:row r="62">
      <x:c r="A62" s="27" t="str">
        <x:v>USD revenue growth</x:v>
      </x:c>
      <x:c r="B62" s="27" t="str">
        <x:v>%</x:v>
      </x:c>
      <x:c r="C62" s="118" t="n">
        <x:v>0</x:v>
      </x:c>
      <x:c r="D62" s="118"/>
      <x:c r="E62" s="118" t="n">
        <x:f>MAX(-20%,'Opportunity Assumptions'!$G$7+'Opportunity Assumptions'!$D$14+'Opportunity Assumptions'!$H$7*'Opportunity Assumptions'!$I$7+(1-'Opportunity Assumptions'!$H$7)*('Opportunity Assumptions'!$B$21*'Opportunity Assumptions'!$J$7-MAX(0,'Opportunity Assumptions'!$C$21+'Opportunity Assumptions'!$G$14)))</x:f>
        <x:v>-0.003499999999999996</x:v>
      </x:c>
      <x:c r="F62" s="118" t="n">
        <x:f>MAX(-20%,'Opportunity Assumptions'!$G$7+'Opportunity Assumptions'!$D$14+'Opportunity Assumptions'!$H$7*'Opportunity Assumptions'!$I$7+(1-'Opportunity Assumptions'!$H$7)*('Opportunity Assumptions'!$B$22*'Opportunity Assumptions'!$J$7-MAX(0,'Opportunity Assumptions'!$C$22+'Opportunity Assumptions'!$G$14)))</x:f>
        <x:v>-0.0026249999999999954</x:v>
      </x:c>
      <x:c r="G62" s="118" t="n">
        <x:f>MAX(-20%,'Opportunity Assumptions'!$G$7+'Opportunity Assumptions'!$D$14+'Opportunity Assumptions'!$H$7*'Opportunity Assumptions'!$I$7+(1-'Opportunity Assumptions'!$H$7)*('Opportunity Assumptions'!$B$23*'Opportunity Assumptions'!$J$7-MAX(0,'Opportunity Assumptions'!$C$23+'Opportunity Assumptions'!$G$14)))</x:f>
        <x:v>-0.0026249999999999954</x:v>
      </x:c>
      <x:c r="H62" s="118" t="n">
        <x:f>MAX(-20%,'Opportunity Assumptions'!$G$7+'Opportunity Assumptions'!$D$14+'Opportunity Assumptions'!$H$7*'Opportunity Assumptions'!$I$7+(1-'Opportunity Assumptions'!$H$7)*('Opportunity Assumptions'!$B$24*'Opportunity Assumptions'!$J$7-MAX(0,'Opportunity Assumptions'!$C$24+'Opportunity Assumptions'!$G$14)))</x:f>
        <x:v>-0.0026249999999999954</x:v>
      </x:c>
      <x:c r="I62" s="118" t="n">
        <x:f>MAX(-20%,'Opportunity Assumptions'!$G$7+'Opportunity Assumptions'!$D$14+'Opportunity Assumptions'!$H$7*'Opportunity Assumptions'!$I$7+(1-'Opportunity Assumptions'!$H$7)*('Opportunity Assumptions'!$B$25*'Opportunity Assumptions'!$J$7-MAX(0,'Opportunity Assumptions'!$C$25+'Opportunity Assumptions'!$G$14)))</x:f>
        <x:v>-0.0026249999999999954</x:v>
      </x:c>
      <x:c r="J62" s="118" t="n">
        <x:f>MAX(-20%,'Opportunity Assumptions'!$G$7+'Opportunity Assumptions'!$D$14+'Opportunity Assumptions'!$H$7*'Opportunity Assumptions'!$I$7+(1-'Opportunity Assumptions'!$H$7)*('Opportunity Assumptions'!$B$26*'Opportunity Assumptions'!$J$7-MAX(0,'Opportunity Assumptions'!$C$26+'Opportunity Assumptions'!$G$14)))</x:f>
        <x:v>-0.0026249999999999954</x:v>
      </x:c>
      <x:c r="K62" s="118" t="n">
        <x:f>MAX(-20%,'Opportunity Assumptions'!$G$7+'Opportunity Assumptions'!$D$14+'Opportunity Assumptions'!$H$7*'Opportunity Assumptions'!$I$7+(1-'Opportunity Assumptions'!$H$7)*('Opportunity Assumptions'!$B$27*'Opportunity Assumptions'!$J$7-MAX(0,'Opportunity Assumptions'!$C$27+'Opportunity Assumptions'!$G$14)))</x:f>
        <x:v>-0.0026249999999999954</x:v>
      </x:c>
      <x:c r="L62" s="118" t="n">
        <x:f>MAX(-20%,'Opportunity Assumptions'!$G$7+'Opportunity Assumptions'!$D$14+'Opportunity Assumptions'!$H$7*'Opportunity Assumptions'!$I$7+(1-'Opportunity Assumptions'!$H$7)*('Opportunity Assumptions'!$B$28*'Opportunity Assumptions'!$J$7-MAX(0,'Opportunity Assumptions'!$C$28+'Opportunity Assumptions'!$G$14)))</x:f>
        <x:v>-0.0026249999999999954</x:v>
      </x:c>
      <x:c r="M62" s="118" t="n">
        <x:f>MAX(-20%,'Opportunity Assumptions'!$G$7+'Opportunity Assumptions'!$D$14+'Opportunity Assumptions'!$H$7*'Opportunity Assumptions'!$I$7+(1-'Opportunity Assumptions'!$H$7)*('Opportunity Assumptions'!$B$29*'Opportunity Assumptions'!$J$7-MAX(0,'Opportunity Assumptions'!$C$29+'Opportunity Assumptions'!$G$14)))</x:f>
        <x:v>-0.0026249999999999954</x:v>
      </x:c>
    </x:row>
    <x:row r="63">
      <x:c r="A63" s="27" t="str">
        <x:v>EBITDA margin</x:v>
      </x:c>
      <x:c r="B63" s="27" t="str">
        <x:v>%</x:v>
      </x:c>
      <x:c r="C63" s="118" t="n">
        <x:v>0</x:v>
      </x:c>
      <x:c r="D63" s="118" t="n">
        <x:f>MAX(3%,MIN(55%,'Opportunity Assumptions'!$K$7+('Opportunity Assumptions'!$L$7-'Opportunity Assumptions'!$K$7)*MIN(1,(1-1)/4)+'Opportunity Assumptions'!$E$14))</x:f>
        <x:v>0.06</x:v>
      </x:c>
      <x:c r="E63" s="118" t="n">
        <x:f>MAX(3%,MIN(55%,'Opportunity Assumptions'!$K$7+('Opportunity Assumptions'!$L$7-'Opportunity Assumptions'!$K$7)*MIN(1,(2-1)/4)+'Opportunity Assumptions'!$E$14))</x:f>
        <x:v>0.07500000000000001</x:v>
      </x:c>
      <x:c r="F63" s="118" t="n">
        <x:f>MAX(3%,MIN(55%,'Opportunity Assumptions'!$K$7+('Opportunity Assumptions'!$L$7-'Opportunity Assumptions'!$K$7)*MIN(1,(3-1)/4)+'Opportunity Assumptions'!$E$14))</x:f>
        <x:v>0.09</x:v>
      </x:c>
      <x:c r="G63" s="118" t="n">
        <x:f>MAX(3%,MIN(55%,'Opportunity Assumptions'!$K$7+('Opportunity Assumptions'!$L$7-'Opportunity Assumptions'!$K$7)*MIN(1,(4-1)/4)+'Opportunity Assumptions'!$E$14))</x:f>
        <x:v>0.10499999999999998</x:v>
      </x:c>
      <x:c r="H63" s="118" t="n">
        <x:f>MAX(3%,MIN(55%,'Opportunity Assumptions'!$K$7+('Opportunity Assumptions'!$L$7-'Opportunity Assumptions'!$K$7)*MIN(1,(5-1)/4)+'Opportunity Assumptions'!$E$14))</x:f>
        <x:v>0.12</x:v>
      </x:c>
      <x:c r="I63" s="118" t="n">
        <x:f>MAX(3%,MIN(55%,'Opportunity Assumptions'!$K$7+('Opportunity Assumptions'!$L$7-'Opportunity Assumptions'!$K$7)*MIN(1,(6-1)/4)+'Opportunity Assumptions'!$E$14))</x:f>
        <x:v>0.12</x:v>
      </x:c>
      <x:c r="J63" s="118" t="n">
        <x:f>MAX(3%,MIN(55%,'Opportunity Assumptions'!$K$7+('Opportunity Assumptions'!$L$7-'Opportunity Assumptions'!$K$7)*MIN(1,(7-1)/4)+'Opportunity Assumptions'!$E$14))</x:f>
        <x:v>0.12</x:v>
      </x:c>
      <x:c r="K63" s="118" t="n">
        <x:f>MAX(3%,MIN(55%,'Opportunity Assumptions'!$K$7+('Opportunity Assumptions'!$L$7-'Opportunity Assumptions'!$K$7)*MIN(1,(8-1)/4)+'Opportunity Assumptions'!$E$14))</x:f>
        <x:v>0.12</x:v>
      </x:c>
      <x:c r="L63" s="118" t="n">
        <x:f>MAX(3%,MIN(55%,'Opportunity Assumptions'!$K$7+('Opportunity Assumptions'!$L$7-'Opportunity Assumptions'!$K$7)*MIN(1,(9-1)/4)+'Opportunity Assumptions'!$E$14))</x:f>
        <x:v>0.12</x:v>
      </x:c>
      <x:c r="M63" s="118" t="n">
        <x:f>MAX(3%,MIN(55%,'Opportunity Assumptions'!$K$7+('Opportunity Assumptions'!$L$7-'Opportunity Assumptions'!$K$7)*MIN(1,(10-1)/4)+'Opportunity Assumptions'!$E$14))</x:f>
        <x:v>0.12</x:v>
      </x:c>
    </x:row>
    <x:row r="64">
      <x:c r="A64" s="27" t="str">
        <x:v>EBITDA</x:v>
      </x:c>
      <x:c r="B64" s="27" t="str">
        <x:v>$m</x:v>
      </x:c>
      <x:c r="C64" s="117" t="n">
        <x:v>0</x:v>
      </x:c>
      <x:c r="D64" s="117" t="n">
        <x:f>D61*D63</x:f>
        <x:v>0.24300000000000002</x:v>
      </x:c>
      <x:c r="E64" s="117" t="n">
        <x:f>E61*E63</x:f>
        <x:v>0.30268687500000013</x:v>
      </x:c>
      <x:c r="F64" s="117" t="n">
        <x:f>F61*F63</x:f>
        <x:v>0.3622707863437501</x:v>
      </x:c>
      <x:c r="G64" s="117" t="n">
        <x:f>G61*G63</x:f>
        <x:v>0.4215397964511974</x:v>
      </x:c>
      <x:c r="H64" s="117" t="n">
        <x:f>H61*H63</x:f>
        <x:v>0.4804951479834435</x:v>
      </x:c>
      <x:c r="I64" s="117" t="n">
        <x:f>I61*I63</x:f>
        <x:v>0.479233848219987</x:v>
      </x:c>
      <x:c r="J64" s="117" t="n">
        <x:f>J61*J63</x:f>
        <x:v>0.47797585936840953</x:v>
      </x:c>
      <x:c r="K64" s="117" t="n">
        <x:f>K61*K63</x:f>
        <x:v>0.4767211727375675</x:v>
      </x:c>
      <x:c r="L64" s="117" t="n">
        <x:f>L61*L63</x:f>
        <x:v>0.47546977965913134</x:v>
      </x:c>
      <x:c r="M64" s="117" t="n">
        <x:f>M61*M63</x:f>
        <x:v>0.47422167148752614</x:v>
      </x:c>
    </x:row>
    <x:row r="65">
      <x:c r="A65" s="27" t="str">
        <x:v>D&amp;A</x:v>
      </x:c>
      <x:c r="B65" s="27" t="str">
        <x:v>$m</x:v>
      </x:c>
      <x:c r="C65" s="117" t="n">
        <x:v>0</x:v>
      </x:c>
      <x:c r="D65" s="117" t="n">
        <x:f>D61*'Opportunity Assumptions'!$M$7</x:f>
        <x:v>0.14175000000000004</x:v>
      </x:c>
      <x:c r="E65" s="117" t="n">
        <x:f>E61*'Opportunity Assumptions'!$M$7</x:f>
        <x:v>0.14125387500000006</x:v>
      </x:c>
      <x:c r="F65" s="117" t="n">
        <x:f>F61*'Opportunity Assumptions'!$M$7</x:f>
        <x:v>0.14088308357812507</x:v>
      </x:c>
      <x:c r="G65" s="117" t="n">
        <x:f>G61*'Opportunity Assumptions'!$M$7</x:f>
        <x:v>0.1405132654837325</x:v>
      </x:c>
      <x:c r="H65" s="117" t="n">
        <x:f>H61*'Opportunity Assumptions'!$M$7</x:f>
        <x:v>0.1401444181618377</x:v>
      </x:c>
      <x:c r="I65" s="117" t="n">
        <x:f>I61*'Opportunity Assumptions'!$M$7</x:f>
        <x:v>0.1397765390641629</x:v>
      </x:c>
      <x:c r="J65" s="117" t="n">
        <x:f>J61*'Opportunity Assumptions'!$M$7</x:f>
        <x:v>0.13940962564911946</x:v>
      </x:c>
      <x:c r="K65" s="117" t="n">
        <x:f>K61*'Opportunity Assumptions'!$M$7</x:f>
        <x:v>0.13904367538179052</x:v>
      </x:c>
      <x:c r="L65" s="117" t="n">
        <x:f>L61*'Opportunity Assumptions'!$M$7</x:f>
        <x:v>0.13867868573391331</x:v>
      </x:c>
      <x:c r="M65" s="117" t="n">
        <x:f>M61*'Opportunity Assumptions'!$M$7</x:f>
        <x:v>0.13831465418386182</x:v>
      </x:c>
    </x:row>
    <x:row r="66">
      <x:c r="A66" s="27" t="str">
        <x:v>EBIT</x:v>
      </x:c>
      <x:c r="B66" s="27" t="str">
        <x:v>$m</x:v>
      </x:c>
      <x:c r="C66" s="117" t="n">
        <x:v>0</x:v>
      </x:c>
      <x:c r="D66" s="117" t="n">
        <x:f>D64-D65</x:f>
        <x:v>0.10124999999999998</x:v>
      </x:c>
      <x:c r="E66" s="117" t="n">
        <x:f>E64-E65</x:f>
        <x:v>0.16143300000000008</x:v>
      </x:c>
      <x:c r="F66" s="117" t="n">
        <x:f>F64-F65</x:f>
        <x:v>0.22138770276562503</x:v>
      </x:c>
      <x:c r="G66" s="117" t="n">
        <x:f>G64-G65</x:f>
        <x:v>0.2810265309674649</x:v>
      </x:c>
      <x:c r="H66" s="117" t="n">
        <x:f>H64-H65</x:f>
        <x:v>0.3403507298216058</x:v>
      </x:c>
      <x:c r="I66" s="117" t="n">
        <x:f>I64-I65</x:f>
        <x:v>0.33945730915582406</x:v>
      </x:c>
      <x:c r="J66" s="117" t="n">
        <x:f>J64-J65</x:f>
        <x:v>0.33856623371929007</x:v>
      </x:c>
      <x:c r="K66" s="117" t="n">
        <x:f>K64-K65</x:f>
        <x:v>0.33767749735577696</x:v>
      </x:c>
      <x:c r="L66" s="117" t="n">
        <x:f>L64-L65</x:f>
        <x:v>0.336791093925218</x:v>
      </x:c>
      <x:c r="M66" s="117" t="n">
        <x:f>M64-M65</x:f>
        <x:v>0.33590701730366435</x:v>
      </x:c>
    </x:row>
    <x:row r="67">
      <x:c r="A67" s="27" t="str">
        <x:v>Corporate tax</x:v>
      </x:c>
      <x:c r="B67" s="27" t="str">
        <x:v>$m</x:v>
      </x:c>
      <x:c r="C67" s="117" t="n">
        <x:v>0</x:v>
      </x:c>
      <x:c r="D67" s="117" t="n">
        <x:f>MAX(0,D66)*'Opportunity Assumptions'!$D$20</x:f>
        <x:v>0.018224999999999995</x:v>
      </x:c>
      <x:c r="E67" s="117" t="n">
        <x:f>MAX(0,E66)*'Opportunity Assumptions'!$D$21</x:f>
        <x:v>0.02905794000000001</x:v>
      </x:c>
      <x:c r="F67" s="117" t="n">
        <x:f>MAX(0,F66)*'Opportunity Assumptions'!$D$22</x:f>
        <x:v>0.039849786497812505</x:v>
      </x:c>
      <x:c r="G67" s="117" t="n">
        <x:f>MAX(0,G66)*'Opportunity Assumptions'!$D$23</x:f>
        <x:v>0.050584775574143676</x:v>
      </x:c>
      <x:c r="H67" s="117" t="n">
        <x:f>MAX(0,H66)*'Opportunity Assumptions'!$D$24</x:f>
        <x:v>0.061263131367889044</x:v>
      </x:c>
      <x:c r="I67" s="117" t="n">
        <x:f>MAX(0,I66)*'Opportunity Assumptions'!$D$25</x:f>
        <x:v>0.06110231564804833</x:v>
      </x:c>
      <x:c r="J67" s="117" t="n">
        <x:f>MAX(0,J66)*'Opportunity Assumptions'!$D$26</x:f>
        <x:v>0.06094192206947221</x:v>
      </x:c>
      <x:c r="K67" s="117" t="n">
        <x:f>MAX(0,K66)*'Opportunity Assumptions'!$D$27</x:f>
        <x:v>0.06078194952403985</x:v>
      </x:c>
      <x:c r="L67" s="117" t="n">
        <x:f>MAX(0,L66)*'Opportunity Assumptions'!$D$28</x:f>
        <x:v>0.060622396906539235</x:v>
      </x:c>
      <x:c r="M67" s="117" t="n">
        <x:f>MAX(0,M66)*'Opportunity Assumptions'!$D$29</x:f>
        <x:v>0.06046326311465958</x:v>
      </x:c>
    </x:row>
    <x:row r="68">
      <x:c r="A68" s="27" t="str">
        <x:v>Capex</x:v>
      </x:c>
      <x:c r="B68" s="27" t="str">
        <x:v>$m</x:v>
      </x:c>
      <x:c r="C68" s="117" t="n">
        <x:v>0</x:v>
      </x:c>
      <x:c r="D68" s="117" t="n">
        <x:f>D61*'Opportunity Assumptions'!$N$7</x:f>
        <x:v>0.18225000000000002</x:v>
      </x:c>
      <x:c r="E68" s="117" t="n">
        <x:f>E61*'Opportunity Assumptions'!$N$7</x:f>
        <x:v>0.18161212500000004</x:v>
      </x:c>
      <x:c r="F68" s="117" t="n">
        <x:f>F61*'Opportunity Assumptions'!$N$7</x:f>
        <x:v>0.18113539317187505</x:v>
      </x:c>
      <x:c r="G68" s="117" t="n">
        <x:f>G61*'Opportunity Assumptions'!$N$7</x:f>
        <x:v>0.1806599127647989</x:v>
      </x:c>
      <x:c r="H68" s="117" t="n">
        <x:f>H61*'Opportunity Assumptions'!$N$7</x:f>
        <x:v>0.18018568049379133</x:v>
      </x:c>
      <x:c r="I68" s="117" t="n">
        <x:f>I61*'Opportunity Assumptions'!$N$7</x:f>
        <x:v>0.17971269308249513</x:v>
      </x:c>
      <x:c r="J68" s="117" t="n">
        <x:f>J61*'Opportunity Assumptions'!$N$7</x:f>
        <x:v>0.17924094726315357</x:v>
      </x:c>
      <x:c r="K68" s="117" t="n">
        <x:f>K61*'Opportunity Assumptions'!$N$7</x:f>
        <x:v>0.1787704397765878</x:v>
      </x:c>
      <x:c r="L68" s="117" t="n">
        <x:f>L61*'Opportunity Assumptions'!$N$7</x:f>
        <x:v>0.17830116737217425</x:v>
      </x:c>
      <x:c r="M68" s="117" t="n">
        <x:f>M61*'Opportunity Assumptions'!$N$7</x:f>
        <x:v>0.17783312680782232</x:v>
      </x:c>
    </x:row>
    <x:row r="69">
      <x:c r="A69" s="27" t="str">
        <x:v>Change in NWC</x:v>
      </x:c>
      <x:c r="B69" s="27" t="str">
        <x:v>$m</x:v>
      </x:c>
      <x:c r="C69" s="117" t="n">
        <x:v>0</x:v>
      </x:c>
      <x:c r="D69" s="117" t="n">
        <x:f>0</x:f>
        <x:v>0</x:v>
      </x:c>
      <x:c r="E69" s="117" t="n">
        <x:f>(E61-D61)*'Opportunity Assumptions'!$O$7</x:f>
        <x:v>-0.002126249999999974</x:v>
      </x:c>
      <x:c r="F69" s="117" t="n">
        <x:f>(F61-E61)*'Opportunity Assumptions'!$O$7</x:f>
        <x:v>-0.0015891060937499367</x:v>
      </x:c>
      <x:c r="G69" s="117" t="n">
        <x:f>(G61-F61)*'Opportunity Assumptions'!$O$7</x:f>
        <x:v>-0.0015849346902538474</x:v>
      </x:c>
      <x:c r="H69" s="117" t="n">
        <x:f>(H61-G61)*'Opportunity Assumptions'!$O$7</x:f>
        <x:v>-0.0015807742366919174</x:v>
      </x:c>
      <x:c r="I69" s="117" t="n">
        <x:f>(I61-H61)*'Opportunity Assumptions'!$O$7</x:f>
        <x:v>-0.0015766247043206727</x:v>
      </x:c>
      <x:c r="J69" s="117" t="n">
        <x:f>(J61-I61)*'Opportunity Assumptions'!$O$7</x:f>
        <x:v>-0.0015724860644718453</x:v>
      </x:c>
      <x:c r="K69" s="117" t="n">
        <x:f>(K61-J61)*'Opportunity Assumptions'!$O$7</x:f>
        <x:v>-0.0015683582885525737</x:v>
      </x:c>
      <x:c r="L69" s="117" t="n">
        <x:f>(L61-K61)*'Opportunity Assumptions'!$O$7</x:f>
        <x:v>-0.0015642413480451366</x:v>
      </x:c>
      <x:c r="M69" s="117" t="n">
        <x:f>(M61-L61)*'Opportunity Assumptions'!$O$7</x:f>
        <x:v>-0.0015601352145064862</x:v>
      </x:c>
    </x:row>
    <x:row r="70">
      <x:c r="A70" s="27" t="str">
        <x:v>Free cash flow</x:v>
      </x:c>
      <x:c r="B70" s="27" t="str">
        <x:v>$m</x:v>
      </x:c>
      <x:c r="C70" s="117" t="n">
        <x:v>0</x:v>
      </x:c>
      <x:c r="D70" s="117" t="n">
        <x:f>D64-D67-D68-D69</x:f>
        <x:v>0.04252500000000001</x:v>
      </x:c>
      <x:c r="E70" s="117" t="n">
        <x:f>E64-E67-E68-E69</x:f>
        <x:v>0.09414306000000006</x:v>
      </x:c>
      <x:c r="F70" s="117" t="n">
        <x:f>F64-F67-F68-F69</x:f>
        <x:v>0.14287471276781247</x:v>
      </x:c>
      <x:c r="G70" s="117" t="n">
        <x:f>G64-G67-G68-G69</x:f>
        <x:v>0.19188004280250862</x:v>
      </x:c>
      <x:c r="H70" s="117" t="n">
        <x:f>H64-H67-H68-H69</x:f>
        <x:v>0.24062711035845508</x:v>
      </x:c>
      <x:c r="I70" s="117" t="n">
        <x:f>I64-I67-I68-I69</x:f>
        <x:v>0.23999546419376425</x:v>
      </x:c>
      <x:c r="J70" s="117" t="n">
        <x:f>J64-J67-J68-J69</x:f>
        <x:v>0.23936547610025563</x:v>
      </x:c>
      <x:c r="K70" s="117" t="n">
        <x:f>K64-K67-K68-K69</x:f>
        <x:v>0.23873714172549237</x:v>
      </x:c>
      <x:c r="L70" s="117" t="n">
        <x:f>L64-L67-L68-L69</x:f>
        <x:v>0.23811045672846298</x:v>
      </x:c>
      <x:c r="M70" s="117" t="n">
        <x:f>M64-M67-M68-M69</x:f>
        <x:v>0.23748541677955076</x:v>
      </x:c>
    </x:row>
    <x:row r="71">
      <x:c r="A71" s="27" t="str">
        <x:v>Terminal value</x:v>
      </x:c>
      <x:c r="B71" s="27" t="str">
        <x:v>$m</x:v>
      </x:c>
      <x:c r="C71" s="117" t="n">
        <x:v>0</x:v>
      </x:c>
      <x:c r="D71" s="117" t="n">
        <x:f>0</x:f>
        <x:v>0</x:v>
      </x:c>
      <x:c r="E71" s="117" t="n">
        <x:f>0</x:f>
        <x:v>0</x:v>
      </x:c>
      <x:c r="F71" s="117" t="n">
        <x:f>0</x:f>
        <x:v>0</x:v>
      </x:c>
      <x:c r="G71" s="117" t="n">
        <x:f>0</x:f>
        <x:v>0</x:v>
      </x:c>
      <x:c r="H71" s="117" t="n">
        <x:f>0</x:f>
        <x:v>0</x:v>
      </x:c>
      <x:c r="I71" s="117" t="n">
        <x:f>0</x:f>
        <x:v>0</x:v>
      </x:c>
      <x:c r="J71" s="117" t="n">
        <x:f>0</x:f>
        <x:v>0</x:v>
      </x:c>
      <x:c r="K71" s="117" t="n">
        <x:f>0</x:f>
        <x:v>0</x:v>
      </x:c>
      <x:c r="L71" s="117" t="n">
        <x:f>0</x:f>
        <x:v>0</x:v>
      </x:c>
      <x:c r="M71" s="117" t="n">
        <x:f>M64*'Opportunity Assumptions'!$P$7*'Opportunity Assumptions'!$F$14</x:f>
        <x:v>1.304109596590697</x:v>
      </x:c>
    </x:row>
    <x:row r="72">
      <x:c r="A72" s="119" t="str">
        <x:v>Equity cash flow</x:v>
      </x:c>
      <x:c r="B72" s="119" t="str">
        <x:v>$m</x:v>
      </x:c>
      <x:c r="C72" s="120" t="n">
        <x:f>-'Opportunity Assumptions'!$D$7</x:f>
        <x:v>-3</x:v>
      </x:c>
      <x:c r="D72" s="120" t="n">
        <x:f>IF(1&lt;='Opportunity Assumptions'!$H$14,MIN(0,D70),D70)+D71</x:f>
        <x:v>0</x:v>
      </x:c>
      <x:c r="E72" s="120" t="n">
        <x:f>IF(2&lt;='Opportunity Assumptions'!$H$14,MIN(0,E70),E70)+E71</x:f>
        <x:v>0</x:v>
      </x:c>
      <x:c r="F72" s="120" t="n">
        <x:f>IF(3&lt;='Opportunity Assumptions'!$H$14,MIN(0,F70),F70)+F71</x:f>
        <x:v>0</x:v>
      </x:c>
      <x:c r="G72" s="120" t="n">
        <x:f>IF(4&lt;='Opportunity Assumptions'!$H$14,MIN(0,G70),G70)+G71</x:f>
        <x:v>0.19188004280250862</x:v>
      </x:c>
      <x:c r="H72" s="120" t="n">
        <x:f>IF(5&lt;='Opportunity Assumptions'!$H$14,MIN(0,H70),H70)+H71</x:f>
        <x:v>0.24062711035845508</x:v>
      </x:c>
      <x:c r="I72" s="120" t="n">
        <x:f>IF(6&lt;='Opportunity Assumptions'!$H$14,MIN(0,I70),I70)+I71</x:f>
        <x:v>0.23999546419376425</x:v>
      </x:c>
      <x:c r="J72" s="120" t="n">
        <x:f>IF(7&lt;='Opportunity Assumptions'!$H$14,MIN(0,J70),J70)+J71</x:f>
        <x:v>0.23936547610025563</x:v>
      </x:c>
      <x:c r="K72" s="120" t="n">
        <x:f>IF(8&lt;='Opportunity Assumptions'!$H$14,MIN(0,K70),K70)+K71</x:f>
        <x:v>0.23873714172549237</x:v>
      </x:c>
      <x:c r="L72" s="120" t="n">
        <x:f>IF(9&lt;='Opportunity Assumptions'!$H$14,MIN(0,L70),L70)+L71</x:f>
        <x:v>0.23811045672846298</x:v>
      </x:c>
      <x:c r="M72" s="120" t="n">
        <x:f>IF(10&lt;='Opportunity Assumptions'!$H$14,MIN(0,M70),M70)+M71</x:f>
        <x:v>1.5415950133702478</x:v>
      </x:c>
    </x:row>
    <x:row r="73">
      <x:c r="A73" s="27" t="str">
        <x:v>Gross USD IRR</x:v>
      </x:c>
      <x:c r="B73" s="27" t="str">
        <x:v>%</x:v>
      </x:c>
      <x:c r="C73" s="118" t="n">
        <x:f>IF(AND(MIN(C72:M72)&lt;0,MAX(C72:M72)&gt;0),IRR(C72:M72),"")</x:f>
        <x:v>-0.002798956884967987</x:v>
      </x:c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</x:row>
    <x:row r="74">
      <x:c r="A74" s="27" t="str">
        <x:v>Gross USD MOIC</x:v>
      </x:c>
      <x:c r="B74" s="27" t="str">
        <x:v>x</x:v>
      </x:c>
      <x:c r="C74" s="121" t="n">
        <x:f>SUMIF(C72:M72,"&gt;0",C72:M72)/-SUMIF(C72:M72,"&lt;0",C72:M72)</x:f>
        <x:v>0.9767702350930622</x:v>
      </x:c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</x:row>
    <x:row r="75">
      <x:c r="A75" s="27" t="str">
        <x:v>NPV @ 20%</x:v>
      </x:c>
      <x:c r="B75" s="27" t="str">
        <x:v>$m</x:v>
      </x:c>
      <x:c r="C75" s="117" t="n">
        <x:f>NPV('Opportunity Assumptions'!$E$20,D72:M72)+C72</x:f>
        <x:v>-2.312939879616459</x:v>
      </x:c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</x:row>
    <x:row r="77">
      <x:c r="A77" s="32" t="str">
        <x:v>Soy/protein processing &amp; traceable ingredients — Base</x:v>
      </x:c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</x:row>
    <x:row r="78">
      <x:c r="A78" s="28" t="str">
        <x:v>Metric</x:v>
      </x:c>
      <x:c r="B78" s="28" t="str">
        <x:v>Units</x:v>
      </x:c>
      <x:c r="C78" s="28" t="n">
        <x:v>0</x:v>
      </x:c>
      <x:c r="D78" s="28" t="n">
        <x:v>1</x:v>
      </x:c>
      <x:c r="E78" s="28" t="n">
        <x:v>2</x:v>
      </x:c>
      <x:c r="F78" s="28" t="n">
        <x:v>3</x:v>
      </x:c>
      <x:c r="G78" s="28" t="n">
        <x:v>4</x:v>
      </x:c>
      <x:c r="H78" s="28" t="n">
        <x:v>5</x:v>
      </x:c>
      <x:c r="I78" s="28" t="n">
        <x:v>6</x:v>
      </x:c>
      <x:c r="J78" s="28" t="n">
        <x:v>7</x:v>
      </x:c>
      <x:c r="K78" s="28" t="n">
        <x:v>8</x:v>
      </x:c>
      <x:c r="L78" s="28" t="n">
        <x:v>9</x:v>
      </x:c>
      <x:c r="M78" s="28" t="n">
        <x:v>10</x:v>
      </x:c>
    </x:row>
    <x:row r="79">
      <x:c r="A79" s="27" t="str">
        <x:v>Revenue</x:v>
      </x:c>
      <x:c r="B79" s="27" t="str">
        <x:v>$m</x:v>
      </x:c>
      <x:c r="C79" s="117" t="n">
        <x:v>0</x:v>
      </x:c>
      <x:c r="D79" s="117" t="n">
        <x:f>'Opportunity Assumptions'!$D$7*'Opportunity Assumptions'!$F$7*'Opportunity Assumptions'!$C$15</x:f>
        <x:v>5.4</x:v>
      </x:c>
      <x:c r="E79" s="117" t="n">
        <x:f>D79*(1+E80)</x:f>
        <x:v>5.799600000000001</x:v>
      </x:c>
      <x:c r="F79" s="117" t="n">
        <x:f>E79*(1+F80)</x:f>
        <x:v>6.233845050000001</x:v>
      </x:c>
      <x:c r="G79" s="117" t="n">
        <x:f>F79*(1+G80)</x:f>
        <x:v>6.700604198118751</x:v>
      </x:c>
      <x:c r="H79" s="117" t="n">
        <x:f>G79*(1+H80)</x:f>
        <x:v>7.202311937452893</x:v>
      </x:c>
      <x:c r="I79" s="117" t="n">
        <x:f>H79*(1+I80)</x:f>
        <x:v>7.741585043769678</x:v>
      </x:c>
      <x:c r="J79" s="117" t="n">
        <x:f>I79*(1+J80)</x:f>
        <x:v>8.321236223921932</x:v>
      </x:c>
      <x:c r="K79" s="117" t="n">
        <x:f>J79*(1+K80)</x:f>
        <x:v>8.944288786188087</x:v>
      </x:c>
      <x:c r="L79" s="117" t="n">
        <x:f>K79*(1+L80)</x:f>
        <x:v>9.613992409053921</x:v>
      </x:c>
      <x:c r="M79" s="117" t="n">
        <x:f>L79*(1+M80)</x:f>
        <x:v>10.333840090681834</x:v>
      </x:c>
    </x:row>
    <x:row r="80">
      <x:c r="A80" s="27" t="str">
        <x:v>USD revenue growth</x:v>
      </x:c>
      <x:c r="B80" s="27" t="str">
        <x:v>%</x:v>
      </x:c>
      <x:c r="C80" s="118" t="n">
        <x:v>0</x:v>
      </x:c>
      <x:c r="D80" s="118"/>
      <x:c r="E80" s="118" t="n">
        <x:f>MAX(-20%,'Opportunity Assumptions'!$G$7+'Opportunity Assumptions'!$D$15+'Opportunity Assumptions'!$H$7*'Opportunity Assumptions'!$I$7+(1-'Opportunity Assumptions'!$H$7)*('Opportunity Assumptions'!$B$21*'Opportunity Assumptions'!$J$7-MAX(0,'Opportunity Assumptions'!$C$21+'Opportunity Assumptions'!$G$15)))</x:f>
        <x:v>0.074</x:v>
      </x:c>
      <x:c r="F80" s="118" t="n">
        <x:f>MAX(-20%,'Opportunity Assumptions'!$G$7+'Opportunity Assumptions'!$D$15+'Opportunity Assumptions'!$H$7*'Opportunity Assumptions'!$I$7+(1-'Opportunity Assumptions'!$H$7)*('Opportunity Assumptions'!$B$22*'Opportunity Assumptions'!$J$7-MAX(0,'Opportunity Assumptions'!$C$22+'Opportunity Assumptions'!$G$15)))</x:f>
        <x:v>0.074875</x:v>
      </x:c>
      <x:c r="G80" s="118" t="n">
        <x:f>MAX(-20%,'Opportunity Assumptions'!$G$7+'Opportunity Assumptions'!$D$15+'Opportunity Assumptions'!$H$7*'Opportunity Assumptions'!$I$7+(1-'Opportunity Assumptions'!$H$7)*('Opportunity Assumptions'!$B$23*'Opportunity Assumptions'!$J$7-MAX(0,'Opportunity Assumptions'!$C$23+'Opportunity Assumptions'!$G$15)))</x:f>
        <x:v>0.074875</x:v>
      </x:c>
      <x:c r="H80" s="118" t="n">
        <x:f>MAX(-20%,'Opportunity Assumptions'!$G$7+'Opportunity Assumptions'!$D$15+'Opportunity Assumptions'!$H$7*'Opportunity Assumptions'!$I$7+(1-'Opportunity Assumptions'!$H$7)*('Opportunity Assumptions'!$B$24*'Opportunity Assumptions'!$J$7-MAX(0,'Opportunity Assumptions'!$C$24+'Opportunity Assumptions'!$G$15)))</x:f>
        <x:v>0.074875</x:v>
      </x:c>
      <x:c r="I80" s="118" t="n">
        <x:f>MAX(-20%,'Opportunity Assumptions'!$G$7+'Opportunity Assumptions'!$D$15+'Opportunity Assumptions'!$H$7*'Opportunity Assumptions'!$I$7+(1-'Opportunity Assumptions'!$H$7)*('Opportunity Assumptions'!$B$25*'Opportunity Assumptions'!$J$7-MAX(0,'Opportunity Assumptions'!$C$25+'Opportunity Assumptions'!$G$15)))</x:f>
        <x:v>0.074875</x:v>
      </x:c>
      <x:c r="J80" s="118" t="n">
        <x:f>MAX(-20%,'Opportunity Assumptions'!$G$7+'Opportunity Assumptions'!$D$15+'Opportunity Assumptions'!$H$7*'Opportunity Assumptions'!$I$7+(1-'Opportunity Assumptions'!$H$7)*('Opportunity Assumptions'!$B$26*'Opportunity Assumptions'!$J$7-MAX(0,'Opportunity Assumptions'!$C$26+'Opportunity Assumptions'!$G$15)))</x:f>
        <x:v>0.074875</x:v>
      </x:c>
      <x:c r="K80" s="118" t="n">
        <x:f>MAX(-20%,'Opportunity Assumptions'!$G$7+'Opportunity Assumptions'!$D$15+'Opportunity Assumptions'!$H$7*'Opportunity Assumptions'!$I$7+(1-'Opportunity Assumptions'!$H$7)*('Opportunity Assumptions'!$B$27*'Opportunity Assumptions'!$J$7-MAX(0,'Opportunity Assumptions'!$C$27+'Opportunity Assumptions'!$G$15)))</x:f>
        <x:v>0.074875</x:v>
      </x:c>
      <x:c r="L80" s="118" t="n">
        <x:f>MAX(-20%,'Opportunity Assumptions'!$G$7+'Opportunity Assumptions'!$D$15+'Opportunity Assumptions'!$H$7*'Opportunity Assumptions'!$I$7+(1-'Opportunity Assumptions'!$H$7)*('Opportunity Assumptions'!$B$28*'Opportunity Assumptions'!$J$7-MAX(0,'Opportunity Assumptions'!$C$28+'Opportunity Assumptions'!$G$15)))</x:f>
        <x:v>0.074875</x:v>
      </x:c>
      <x:c r="M80" s="118" t="n">
        <x:f>MAX(-20%,'Opportunity Assumptions'!$G$7+'Opportunity Assumptions'!$D$15+'Opportunity Assumptions'!$H$7*'Opportunity Assumptions'!$I$7+(1-'Opportunity Assumptions'!$H$7)*('Opportunity Assumptions'!$B$29*'Opportunity Assumptions'!$J$7-MAX(0,'Opportunity Assumptions'!$C$29+'Opportunity Assumptions'!$G$15)))</x:f>
        <x:v>0.074875</x:v>
      </x:c>
    </x:row>
    <x:row r="81">
      <x:c r="A81" s="27" t="str">
        <x:v>EBITDA margin</x:v>
      </x:c>
      <x:c r="B81" s="27" t="str">
        <x:v>%</x:v>
      </x:c>
      <x:c r="C81" s="118" t="n">
        <x:v>0</x:v>
      </x:c>
      <x:c r="D81" s="118" t="n">
        <x:f>MAX(3%,MIN(55%,'Opportunity Assumptions'!$K$7+('Opportunity Assumptions'!$L$7-'Opportunity Assumptions'!$K$7)*MIN(1,(1-1)/4)+'Opportunity Assumptions'!$E$15))</x:f>
        <x:v>0.12</x:v>
      </x:c>
      <x:c r="E81" s="118" t="n">
        <x:f>MAX(3%,MIN(55%,'Opportunity Assumptions'!$K$7+('Opportunity Assumptions'!$L$7-'Opportunity Assumptions'!$K$7)*MIN(1,(2-1)/4)+'Opportunity Assumptions'!$E$15))</x:f>
        <x:v>0.135</x:v>
      </x:c>
      <x:c r="F81" s="118" t="n">
        <x:f>MAX(3%,MIN(55%,'Opportunity Assumptions'!$K$7+('Opportunity Assumptions'!$L$7-'Opportunity Assumptions'!$K$7)*MIN(1,(3-1)/4)+'Opportunity Assumptions'!$E$15))</x:f>
        <x:v>0.15</x:v>
      </x:c>
      <x:c r="G81" s="118" t="n">
        <x:f>MAX(3%,MIN(55%,'Opportunity Assumptions'!$K$7+('Opportunity Assumptions'!$L$7-'Opportunity Assumptions'!$K$7)*MIN(1,(4-1)/4)+'Opportunity Assumptions'!$E$15))</x:f>
        <x:v>0.16499999999999998</x:v>
      </x:c>
      <x:c r="H81" s="118" t="n">
        <x:f>MAX(3%,MIN(55%,'Opportunity Assumptions'!$K$7+('Opportunity Assumptions'!$L$7-'Opportunity Assumptions'!$K$7)*MIN(1,(5-1)/4)+'Opportunity Assumptions'!$E$15))</x:f>
        <x:v>0.18</x:v>
      </x:c>
      <x:c r="I81" s="118" t="n">
        <x:f>MAX(3%,MIN(55%,'Opportunity Assumptions'!$K$7+('Opportunity Assumptions'!$L$7-'Opportunity Assumptions'!$K$7)*MIN(1,(6-1)/4)+'Opportunity Assumptions'!$E$15))</x:f>
        <x:v>0.18</x:v>
      </x:c>
      <x:c r="J81" s="118" t="n">
        <x:f>MAX(3%,MIN(55%,'Opportunity Assumptions'!$K$7+('Opportunity Assumptions'!$L$7-'Opportunity Assumptions'!$K$7)*MIN(1,(7-1)/4)+'Opportunity Assumptions'!$E$15))</x:f>
        <x:v>0.18</x:v>
      </x:c>
      <x:c r="K81" s="118" t="n">
        <x:f>MAX(3%,MIN(55%,'Opportunity Assumptions'!$K$7+('Opportunity Assumptions'!$L$7-'Opportunity Assumptions'!$K$7)*MIN(1,(8-1)/4)+'Opportunity Assumptions'!$E$15))</x:f>
        <x:v>0.18</x:v>
      </x:c>
      <x:c r="L81" s="118" t="n">
        <x:f>MAX(3%,MIN(55%,'Opportunity Assumptions'!$K$7+('Opportunity Assumptions'!$L$7-'Opportunity Assumptions'!$K$7)*MIN(1,(9-1)/4)+'Opportunity Assumptions'!$E$15))</x:f>
        <x:v>0.18</x:v>
      </x:c>
      <x:c r="M81" s="118" t="n">
        <x:f>MAX(3%,MIN(55%,'Opportunity Assumptions'!$K$7+('Opportunity Assumptions'!$L$7-'Opportunity Assumptions'!$K$7)*MIN(1,(10-1)/4)+'Opportunity Assumptions'!$E$15))</x:f>
        <x:v>0.18</x:v>
      </x:c>
    </x:row>
    <x:row r="82">
      <x:c r="A82" s="27" t="str">
        <x:v>EBITDA</x:v>
      </x:c>
      <x:c r="B82" s="27" t="str">
        <x:v>$m</x:v>
      </x:c>
      <x:c r="C82" s="117" t="n">
        <x:v>0</x:v>
      </x:c>
      <x:c r="D82" s="117" t="n">
        <x:f>D79*D81</x:f>
        <x:v>0.648</x:v>
      </x:c>
      <x:c r="E82" s="117" t="n">
        <x:f>E79*E81</x:f>
        <x:v>0.7829460000000001</x:v>
      </x:c>
      <x:c r="F82" s="117" t="n">
        <x:f>F79*F81</x:f>
        <x:v>0.9350767575000001</x:v>
      </x:c>
      <x:c r="G82" s="117" t="n">
        <x:f>G79*G81</x:f>
        <x:v>1.1055996926895937</x:v>
      </x:c>
      <x:c r="H82" s="117" t="n">
        <x:f>H79*H81</x:f>
        <x:v>1.2964161487415207</x:v>
      </x:c>
      <x:c r="I82" s="117" t="n">
        <x:f>I79*I81</x:f>
        <x:v>1.393485307878542</x:v>
      </x:c>
      <x:c r="J82" s="117" t="n">
        <x:f>J79*J81</x:f>
        <x:v>1.4978225203059479</x:v>
      </x:c>
      <x:c r="K82" s="117" t="n">
        <x:f>K79*K81</x:f>
        <x:v>1.6099719815138556</x:v>
      </x:c>
      <x:c r="L82" s="117" t="n">
        <x:f>L79*L81</x:f>
        <x:v>1.7305186336297058</x:v>
      </x:c>
      <x:c r="M82" s="117" t="n">
        <x:f>M79*M81</x:f>
        <x:v>1.8600912163227301</x:v>
      </x:c>
    </x:row>
    <x:row r="83">
      <x:c r="A83" s="27" t="str">
        <x:v>D&amp;A</x:v>
      </x:c>
      <x:c r="B83" s="27" t="str">
        <x:v>$m</x:v>
      </x:c>
      <x:c r="C83" s="117" t="n">
        <x:v>0</x:v>
      </x:c>
      <x:c r="D83" s="117" t="n">
        <x:f>D79*'Opportunity Assumptions'!$M$7</x:f>
        <x:v>0.18900000000000003</x:v>
      </x:c>
      <x:c r="E83" s="117" t="n">
        <x:f>E79*'Opportunity Assumptions'!$M$7</x:f>
        <x:v>0.20298600000000006</x:v>
      </x:c>
      <x:c r="F83" s="117" t="n">
        <x:f>F79*'Opportunity Assumptions'!$M$7</x:f>
        <x:v>0.21818457675000005</x:v>
      </x:c>
      <x:c r="G83" s="117" t="n">
        <x:f>G79*'Opportunity Assumptions'!$M$7</x:f>
        <x:v>0.2345211469341563</x:v>
      </x:c>
      <x:c r="H83" s="117" t="n">
        <x:f>H79*'Opportunity Assumptions'!$M$7</x:f>
        <x:v>0.2520809178108513</x:v>
      </x:c>
      <x:c r="I83" s="117" t="n">
        <x:f>I79*'Opportunity Assumptions'!$M$7</x:f>
        <x:v>0.27095547653193874</x:v>
      </x:c>
      <x:c r="J83" s="117" t="n">
        <x:f>J79*'Opportunity Assumptions'!$M$7</x:f>
        <x:v>0.29124326783726767</x:v>
      </x:c>
      <x:c r="K83" s="117" t="n">
        <x:f>K79*'Opportunity Assumptions'!$M$7</x:f>
        <x:v>0.3130501075165831</x:v>
      </x:c>
      <x:c r="L83" s="117" t="n">
        <x:f>L79*'Opportunity Assumptions'!$M$7</x:f>
        <x:v>0.3364897343168873</x:v>
      </x:c>
      <x:c r="M83" s="117" t="n">
        <x:f>M79*'Opportunity Assumptions'!$M$7</x:f>
        <x:v>0.36168440317386424</x:v>
      </x:c>
    </x:row>
    <x:row r="84">
      <x:c r="A84" s="27" t="str">
        <x:v>EBIT</x:v>
      </x:c>
      <x:c r="B84" s="27" t="str">
        <x:v>$m</x:v>
      </x:c>
      <x:c r="C84" s="117" t="n">
        <x:v>0</x:v>
      </x:c>
      <x:c r="D84" s="117" t="n">
        <x:f>D82-D83</x:f>
        <x:v>0.45899999999999996</x:v>
      </x:c>
      <x:c r="E84" s="117" t="n">
        <x:f>E82-E83</x:f>
        <x:v>0.57996</x:v>
      </x:c>
      <x:c r="F84" s="117" t="n">
        <x:f>F82-F83</x:f>
        <x:v>0.71689218075</x:v>
      </x:c>
      <x:c r="G84" s="117" t="n">
        <x:f>G82-G83</x:f>
        <x:v>0.8710785457554374</x:v>
      </x:c>
      <x:c r="H84" s="117" t="n">
        <x:f>H82-H83</x:f>
        <x:v>1.0443352309306695</x:v>
      </x:c>
      <x:c r="I84" s="117" t="n">
        <x:f>I82-I83</x:f>
        <x:v>1.1225298313466032</x:v>
      </x:c>
      <x:c r="J84" s="117" t="n">
        <x:f>J82-J83</x:f>
        <x:v>1.2065792524686803</x:v>
      </x:c>
      <x:c r="K84" s="117" t="n">
        <x:f>K82-K83</x:f>
        <x:v>1.2969218739972725</x:v>
      </x:c>
      <x:c r="L84" s="117" t="n">
        <x:f>L82-L83</x:f>
        <x:v>1.3940288993128185</x:v>
      </x:c>
      <x:c r="M84" s="117" t="n">
        <x:f>M82-M83</x:f>
        <x:v>1.498406813148866</x:v>
      </x:c>
    </x:row>
    <x:row r="85">
      <x:c r="A85" s="27" t="str">
        <x:v>Corporate tax</x:v>
      </x:c>
      <x:c r="B85" s="27" t="str">
        <x:v>$m</x:v>
      </x:c>
      <x:c r="C85" s="117" t="n">
        <x:v>0</x:v>
      </x:c>
      <x:c r="D85" s="117" t="n">
        <x:f>MAX(0,D84)*'Opportunity Assumptions'!$D$20</x:f>
        <x:v>0.08261999999999999</x:v>
      </x:c>
      <x:c r="E85" s="117" t="n">
        <x:f>MAX(0,E84)*'Opportunity Assumptions'!$D$21</x:f>
        <x:v>0.10439280000000001</x:v>
      </x:c>
      <x:c r="F85" s="117" t="n">
        <x:f>MAX(0,F84)*'Opportunity Assumptions'!$D$22</x:f>
        <x:v>0.129040592535</x:v>
      </x:c>
      <x:c r="G85" s="117" t="n">
        <x:f>MAX(0,G84)*'Opportunity Assumptions'!$D$23</x:f>
        <x:v>0.15679413823597874</x:v>
      </x:c>
      <x:c r="H85" s="117" t="n">
        <x:f>MAX(0,H84)*'Opportunity Assumptions'!$D$24</x:f>
        <x:v>0.1879803415675205</x:v>
      </x:c>
      <x:c r="I85" s="117" t="n">
        <x:f>MAX(0,I84)*'Opportunity Assumptions'!$D$25</x:f>
        <x:v>0.20205536964238857</x:v>
      </x:c>
      <x:c r="J85" s="117" t="n">
        <x:f>MAX(0,J84)*'Opportunity Assumptions'!$D$26</x:f>
        <x:v>0.21718426544436245</x:v>
      </x:c>
      <x:c r="K85" s="117" t="n">
        <x:f>MAX(0,K84)*'Opportunity Assumptions'!$D$27</x:f>
        <x:v>0.23344593731950905</x:v>
      </x:c>
      <x:c r="L85" s="117" t="n">
        <x:f>MAX(0,L84)*'Opportunity Assumptions'!$D$28</x:f>
        <x:v>0.2509252018763073</x:v>
      </x:c>
      <x:c r="M85" s="117" t="n">
        <x:f>MAX(0,M84)*'Opportunity Assumptions'!$D$29</x:f>
        <x:v>0.26971322636679584</x:v>
      </x:c>
    </x:row>
    <x:row r="86">
      <x:c r="A86" s="27" t="str">
        <x:v>Capex</x:v>
      </x:c>
      <x:c r="B86" s="27" t="str">
        <x:v>$m</x:v>
      </x:c>
      <x:c r="C86" s="117" t="n">
        <x:v>0</x:v>
      </x:c>
      <x:c r="D86" s="117" t="n">
        <x:f>D79*'Opportunity Assumptions'!$N$7</x:f>
        <x:v>0.243</x:v>
      </x:c>
      <x:c r="E86" s="117" t="n">
        <x:f>E79*'Opportunity Assumptions'!$N$7</x:f>
        <x:v>0.26098200000000005</x:v>
      </x:c>
      <x:c r="F86" s="117" t="n">
        <x:f>F79*'Opportunity Assumptions'!$N$7</x:f>
        <x:v>0.28052302725000006</x:v>
      </x:c>
      <x:c r="G86" s="117" t="n">
        <x:f>G79*'Opportunity Assumptions'!$N$7</x:f>
        <x:v>0.3015271889153438</x:v>
      </x:c>
      <x:c r="H86" s="117" t="n">
        <x:f>H79*'Opportunity Assumptions'!$N$7</x:f>
        <x:v>0.32410403718538017</x:v>
      </x:c>
      <x:c r="I86" s="117" t="n">
        <x:f>I79*'Opportunity Assumptions'!$N$7</x:f>
        <x:v>0.3483713269696355</x:v>
      </x:c>
      <x:c r="J86" s="117" t="n">
        <x:f>J79*'Opportunity Assumptions'!$N$7</x:f>
        <x:v>0.37445563007648697</x:v>
      </x:c>
      <x:c r="K86" s="117" t="n">
        <x:f>K79*'Opportunity Assumptions'!$N$7</x:f>
        <x:v>0.4024929953784639</x:v>
      </x:c>
      <x:c r="L86" s="117" t="n">
        <x:f>L79*'Opportunity Assumptions'!$N$7</x:f>
        <x:v>0.43262965840742645</x:v>
      </x:c>
      <x:c r="M86" s="117" t="n">
        <x:f>M79*'Opportunity Assumptions'!$N$7</x:f>
        <x:v>0.46502280408068253</x:v>
      </x:c>
    </x:row>
    <x:row r="87">
      <x:c r="A87" s="27" t="str">
        <x:v>Change in NWC</x:v>
      </x:c>
      <x:c r="B87" s="27" t="str">
        <x:v>$m</x:v>
      </x:c>
      <x:c r="C87" s="117" t="n">
        <x:v>0</x:v>
      </x:c>
      <x:c r="D87" s="117" t="n">
        <x:f>0</x:f>
        <x:v>0</x:v>
      </x:c>
      <x:c r="E87" s="117" t="n">
        <x:f>(E79-D79)*'Opportunity Assumptions'!$O$7</x:f>
        <x:v>0.059940000000000056</x:v>
      </x:c>
      <x:c r="F87" s="117" t="n">
        <x:f>(F79-E79)*'Opportunity Assumptions'!$O$7</x:f>
        <x:v>0.06513675750000004</x:v>
      </x:c>
      <x:c r="G87" s="117" t="n">
        <x:f>(G79-F79)*'Opportunity Assumptions'!$O$7</x:f>
        <x:v>0.07001387221781248</x:v>
      </x:c>
      <x:c r="H87" s="117" t="n">
        <x:f>(H79-G79)*'Opportunity Assumptions'!$O$7</x:f>
        <x:v>0.0752561609001213</x:v>
      </x:c>
      <x:c r="I87" s="117" t="n">
        <x:f>(I79-H79)*'Opportunity Assumptions'!$O$7</x:f>
        <x:v>0.08089096594751778</x:v>
      </x:c>
      <x:c r="J87" s="117" t="n">
        <x:f>(J79-I79)*'Opportunity Assumptions'!$O$7</x:f>
        <x:v>0.08694767702283812</x:v>
      </x:c>
      <x:c r="K87" s="117" t="n">
        <x:f>(K79-J79)*'Opportunity Assumptions'!$O$7</x:f>
        <x:v>0.09345788433992323</x:v>
      </x:c>
      <x:c r="L87" s="117" t="n">
        <x:f>(L79-K79)*'Opportunity Assumptions'!$O$7</x:f>
        <x:v>0.10045554342987506</x:v>
      </x:c>
      <x:c r="M87" s="117" t="n">
        <x:f>(M79-L79)*'Opportunity Assumptions'!$O$7</x:f>
        <x:v>0.10797715224418693</x:v>
      </x:c>
    </x:row>
    <x:row r="88">
      <x:c r="A88" s="27" t="str">
        <x:v>Free cash flow</x:v>
      </x:c>
      <x:c r="B88" s="27" t="str">
        <x:v>$m</x:v>
      </x:c>
      <x:c r="C88" s="117" t="n">
        <x:v>0</x:v>
      </x:c>
      <x:c r="D88" s="117" t="n">
        <x:f>D82-D85-D86-D87</x:f>
        <x:v>0.32238</x:v>
      </x:c>
      <x:c r="E88" s="117" t="n">
        <x:f>E82-E85-E86-E87</x:f>
        <x:v>0.3576312</x:v>
      </x:c>
      <x:c r="F88" s="117" t="n">
        <x:f>F82-F85-F86-F87</x:f>
        <x:v>0.46037638021499994</x:v>
      </x:c>
      <x:c r="G88" s="117" t="n">
        <x:f>G82-G85-G86-G87</x:f>
        <x:v>0.5772644933204586</x:v>
      </x:c>
      <x:c r="H88" s="117" t="n">
        <x:f>H82-H85-H86-H87</x:f>
        <x:v>0.7090756090884986</x:v>
      </x:c>
      <x:c r="I88" s="117" t="n">
        <x:f>I82-I85-I86-I87</x:f>
        <x:v>0.7621676453190002</x:v>
      </x:c>
      <x:c r="J88" s="117" t="n">
        <x:f>J82-J85-J86-J87</x:f>
        <x:v>0.8192349477622602</x:v>
      </x:c>
      <x:c r="K88" s="117" t="n">
        <x:f>K82-K85-K86-K87</x:f>
        <x:v>0.8805751644759594</x:v>
      </x:c>
      <x:c r="L88" s="117" t="n">
        <x:f>L82-L85-L86-L87</x:f>
        <x:v>0.946508229916097</x:v>
      </x:c>
      <x:c r="M88" s="117" t="n">
        <x:f>M82-M85-M86-M87</x:f>
        <x:v>1.0173780336310647</x:v>
      </x:c>
    </x:row>
    <x:row r="89">
      <x:c r="A89" s="27" t="str">
        <x:v>Terminal value</x:v>
      </x:c>
      <x:c r="B89" s="27" t="str">
        <x:v>$m</x:v>
      </x:c>
      <x:c r="C89" s="117" t="n">
        <x:v>0</x:v>
      </x:c>
      <x:c r="D89" s="117" t="n">
        <x:f>0</x:f>
        <x:v>0</x:v>
      </x:c>
      <x:c r="E89" s="117" t="n">
        <x:f>0</x:f>
        <x:v>0</x:v>
      </x:c>
      <x:c r="F89" s="117" t="n">
        <x:f>0</x:f>
        <x:v>0</x:v>
      </x:c>
      <x:c r="G89" s="117" t="n">
        <x:f>0</x:f>
        <x:v>0</x:v>
      </x:c>
      <x:c r="H89" s="117" t="n">
        <x:f>0</x:f>
        <x:v>0</x:v>
      </x:c>
      <x:c r="I89" s="117" t="n">
        <x:f>0</x:f>
        <x:v>0</x:v>
      </x:c>
      <x:c r="J89" s="117" t="n">
        <x:f>0</x:f>
        <x:v>0</x:v>
      </x:c>
      <x:c r="K89" s="117" t="n">
        <x:f>0</x:f>
        <x:v>0</x:v>
      </x:c>
      <x:c r="L89" s="117" t="n">
        <x:f>0</x:f>
        <x:v>0</x:v>
      </x:c>
      <x:c r="M89" s="117" t="n">
        <x:f>M82*'Opportunity Assumptions'!$P$7*'Opportunity Assumptions'!$F$15</x:f>
        <x:v>9.30045608161365</x:v>
      </x:c>
    </x:row>
    <x:row r="90">
      <x:c r="A90" s="119" t="str">
        <x:v>Equity cash flow</x:v>
      </x:c>
      <x:c r="B90" s="119" t="str">
        <x:v>$m</x:v>
      </x:c>
      <x:c r="C90" s="120" t="n">
        <x:f>-'Opportunity Assumptions'!$D$7</x:f>
        <x:v>-3</x:v>
      </x:c>
      <x:c r="D90" s="120" t="n">
        <x:f>IF(1&lt;='Opportunity Assumptions'!$H$15,MIN(0,D88),D88)+D89</x:f>
        <x:v>0</x:v>
      </x:c>
      <x:c r="E90" s="120" t="n">
        <x:f>IF(2&lt;='Opportunity Assumptions'!$H$15,MIN(0,E88),E88)+E89</x:f>
        <x:v>0</x:v>
      </x:c>
      <x:c r="F90" s="120" t="n">
        <x:f>IF(3&lt;='Opportunity Assumptions'!$H$15,MIN(0,F88),F88)+F89</x:f>
        <x:v>0.46037638021499994</x:v>
      </x:c>
      <x:c r="G90" s="120" t="n">
        <x:f>IF(4&lt;='Opportunity Assumptions'!$H$15,MIN(0,G88),G88)+G89</x:f>
        <x:v>0.5772644933204586</x:v>
      </x:c>
      <x:c r="H90" s="120" t="n">
        <x:f>IF(5&lt;='Opportunity Assumptions'!$H$15,MIN(0,H88),H88)+H89</x:f>
        <x:v>0.7090756090884986</x:v>
      </x:c>
      <x:c r="I90" s="120" t="n">
        <x:f>IF(6&lt;='Opportunity Assumptions'!$H$15,MIN(0,I88),I88)+I89</x:f>
        <x:v>0.7621676453190002</x:v>
      </x:c>
      <x:c r="J90" s="120" t="n">
        <x:f>IF(7&lt;='Opportunity Assumptions'!$H$15,MIN(0,J88),J88)+J89</x:f>
        <x:v>0.8192349477622602</x:v>
      </x:c>
      <x:c r="K90" s="120" t="n">
        <x:f>IF(8&lt;='Opportunity Assumptions'!$H$15,MIN(0,K88),K88)+K89</x:f>
        <x:v>0.8805751644759594</x:v>
      </x:c>
      <x:c r="L90" s="120" t="n">
        <x:f>IF(9&lt;='Opportunity Assumptions'!$H$15,MIN(0,L88),L88)+L89</x:f>
        <x:v>0.946508229916097</x:v>
      </x:c>
      <x:c r="M90" s="120" t="n">
        <x:f>IF(10&lt;='Opportunity Assumptions'!$H$15,MIN(0,M88),M88)+M89</x:f>
        <x:v>10.317834115244715</x:v>
      </x:c>
    </x:row>
    <x:row r="91">
      <x:c r="A91" s="27" t="str">
        <x:v>Gross USD IRR</x:v>
      </x:c>
      <x:c r="B91" s="27" t="str">
        <x:v>%</x:v>
      </x:c>
      <x:c r="C91" s="118" t="n">
        <x:f>IF(AND(MIN(C90:M90)&lt;0,MAX(C90:M90)&gt;0),IRR(C90:M90),"")</x:f>
        <x:v>0.21795486898003863</x:v>
      </x:c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</x:row>
    <x:row r="92">
      <x:c r="A92" s="27" t="str">
        <x:v>Gross USD MOIC</x:v>
      </x:c>
      <x:c r="B92" s="27" t="str">
        <x:v>x</x:v>
      </x:c>
      <x:c r="C92" s="121" t="n">
        <x:f>SUMIF(C90:M90,"&gt;0",C90:M90)/-SUMIF(C90:M90,"&lt;0",C90:M90)</x:f>
        <x:v>5.157678861780663</x:v>
      </x:c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</x:row>
    <x:row r="93">
      <x:c r="A93" s="27" t="str">
        <x:v>NPV @ 20%</x:v>
      </x:c>
      <x:c r="B93" s="27" t="str">
        <x:v>$m</x:v>
      </x:c>
      <x:c r="C93" s="117" t="n">
        <x:f>NPV('Opportunity Assumptions'!$E$20,D90:M90)+C90</x:f>
        <x:v>0.36827361358547694</x:v>
      </x:c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</x:row>
    <x:row r="95">
      <x:c r="A95" s="32" t="str">
        <x:v>Soy/protein processing &amp; traceable ingredients — Upside</x:v>
      </x:c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</x:row>
    <x:row r="96">
      <x:c r="A96" s="28" t="str">
        <x:v>Metric</x:v>
      </x:c>
      <x:c r="B96" s="28" t="str">
        <x:v>Units</x:v>
      </x:c>
      <x:c r="C96" s="28" t="n">
        <x:v>0</x:v>
      </x:c>
      <x:c r="D96" s="28" t="n">
        <x:v>1</x:v>
      </x:c>
      <x:c r="E96" s="28" t="n">
        <x:v>2</x:v>
      </x:c>
      <x:c r="F96" s="28" t="n">
        <x:v>3</x:v>
      </x:c>
      <x:c r="G96" s="28" t="n">
        <x:v>4</x:v>
      </x:c>
      <x:c r="H96" s="28" t="n">
        <x:v>5</x:v>
      </x:c>
      <x:c r="I96" s="28" t="n">
        <x:v>6</x:v>
      </x:c>
      <x:c r="J96" s="28" t="n">
        <x:v>7</x:v>
      </x:c>
      <x:c r="K96" s="28" t="n">
        <x:v>8</x:v>
      </x:c>
      <x:c r="L96" s="28" t="n">
        <x:v>9</x:v>
      </x:c>
      <x:c r="M96" s="28" t="n">
        <x:v>10</x:v>
      </x:c>
    </x:row>
    <x:row r="97">
      <x:c r="A97" s="27" t="str">
        <x:v>Revenue</x:v>
      </x:c>
      <x:c r="B97" s="27" t="str">
        <x:v>$m</x:v>
      </x:c>
      <x:c r="C97" s="117" t="n">
        <x:v>0</x:v>
      </x:c>
      <x:c r="D97" s="117" t="n">
        <x:f>'Opportunity Assumptions'!$D$7*'Opportunity Assumptions'!$F$7*'Opportunity Assumptions'!$C$16</x:f>
        <x:v>6.048000000000001</x:v>
      </x:c>
      <x:c r="E97" s="117" t="n">
        <x:f>D97*(1+E98)</x:f>
        <x:v>6.820632000000002</x:v>
      </x:c>
      <x:c r="F97" s="117" t="n">
        <x:f>E97*(1+F98)</x:f>
        <x:v>7.697935791000002</x:v>
      </x:c>
      <x:c r="G97" s="117" t="n">
        <x:f>F97*(1+G98)</x:f>
        <x:v>8.688082782117377</x:v>
      </x:c>
      <x:c r="H97" s="117" t="n">
        <x:f>G97*(1+H98)</x:f>
        <x:v>9.805587429967224</x:v>
      </x:c>
      <x:c r="I97" s="117" t="n">
        <x:f>H97*(1+I98)</x:f>
        <x:v>11.066831113146758</x:v>
      </x:c>
      <x:c r="J97" s="117" t="n">
        <x:f>I97*(1+J98)</x:f>
        <x:v>12.49030226507526</x:v>
      </x:c>
      <x:c r="K97" s="117" t="n">
        <x:f>J97*(1+K98)</x:f>
        <x:v>14.096867393920565</x:v>
      </x:c>
      <x:c r="L97" s="117" t="n">
        <x:f>K97*(1+L98)</x:f>
        <x:v>15.910076962463597</x:v>
      </x:c>
      <x:c r="M97" s="117" t="n">
        <x:f>L97*(1+M98)</x:f>
        <x:v>17.95651061176048</x:v>
      </x:c>
    </x:row>
    <x:row r="98">
      <x:c r="A98" s="27" t="str">
        <x:v>USD revenue growth</x:v>
      </x:c>
      <x:c r="B98" s="27" t="str">
        <x:v>%</x:v>
      </x:c>
      <x:c r="C98" s="118" t="n">
        <x:v>0</x:v>
      </x:c>
      <x:c r="D98" s="118"/>
      <x:c r="E98" s="118" t="n">
        <x:f>MAX(-20%,'Opportunity Assumptions'!$G$7+'Opportunity Assumptions'!$D$16+'Opportunity Assumptions'!$H$7*'Opportunity Assumptions'!$I$7+(1-'Opportunity Assumptions'!$H$7)*('Opportunity Assumptions'!$B$21*'Opportunity Assumptions'!$J$7-MAX(0,'Opportunity Assumptions'!$C$21+'Opportunity Assumptions'!$G$16)))</x:f>
        <x:v>0.12775</x:v>
      </x:c>
      <x:c r="F98" s="118" t="n">
        <x:f>MAX(-20%,'Opportunity Assumptions'!$G$7+'Opportunity Assumptions'!$D$16+'Opportunity Assumptions'!$H$7*'Opportunity Assumptions'!$I$7+(1-'Opportunity Assumptions'!$H$7)*('Opportunity Assumptions'!$B$22*'Opportunity Assumptions'!$J$7-MAX(0,'Opportunity Assumptions'!$C$22+'Opportunity Assumptions'!$G$16)))</x:f>
        <x:v>0.128625</x:v>
      </x:c>
      <x:c r="G98" s="118" t="n">
        <x:f>MAX(-20%,'Opportunity Assumptions'!$G$7+'Opportunity Assumptions'!$D$16+'Opportunity Assumptions'!$H$7*'Opportunity Assumptions'!$I$7+(1-'Opportunity Assumptions'!$H$7)*('Opportunity Assumptions'!$B$23*'Opportunity Assumptions'!$J$7-MAX(0,'Opportunity Assumptions'!$C$23+'Opportunity Assumptions'!$G$16)))</x:f>
        <x:v>0.128625</x:v>
      </x:c>
      <x:c r="H98" s="118" t="n">
        <x:f>MAX(-20%,'Opportunity Assumptions'!$G$7+'Opportunity Assumptions'!$D$16+'Opportunity Assumptions'!$H$7*'Opportunity Assumptions'!$I$7+(1-'Opportunity Assumptions'!$H$7)*('Opportunity Assumptions'!$B$24*'Opportunity Assumptions'!$J$7-MAX(0,'Opportunity Assumptions'!$C$24+'Opportunity Assumptions'!$G$16)))</x:f>
        <x:v>0.128625</x:v>
      </x:c>
      <x:c r="I98" s="118" t="n">
        <x:f>MAX(-20%,'Opportunity Assumptions'!$G$7+'Opportunity Assumptions'!$D$16+'Opportunity Assumptions'!$H$7*'Opportunity Assumptions'!$I$7+(1-'Opportunity Assumptions'!$H$7)*('Opportunity Assumptions'!$B$25*'Opportunity Assumptions'!$J$7-MAX(0,'Opportunity Assumptions'!$C$25+'Opportunity Assumptions'!$G$16)))</x:f>
        <x:v>0.128625</x:v>
      </x:c>
      <x:c r="J98" s="118" t="n">
        <x:f>MAX(-20%,'Opportunity Assumptions'!$G$7+'Opportunity Assumptions'!$D$16+'Opportunity Assumptions'!$H$7*'Opportunity Assumptions'!$I$7+(1-'Opportunity Assumptions'!$H$7)*('Opportunity Assumptions'!$B$26*'Opportunity Assumptions'!$J$7-MAX(0,'Opportunity Assumptions'!$C$26+'Opportunity Assumptions'!$G$16)))</x:f>
        <x:v>0.128625</x:v>
      </x:c>
      <x:c r="K98" s="118" t="n">
        <x:f>MAX(-20%,'Opportunity Assumptions'!$G$7+'Opportunity Assumptions'!$D$16+'Opportunity Assumptions'!$H$7*'Opportunity Assumptions'!$I$7+(1-'Opportunity Assumptions'!$H$7)*('Opportunity Assumptions'!$B$27*'Opportunity Assumptions'!$J$7-MAX(0,'Opportunity Assumptions'!$C$27+'Opportunity Assumptions'!$G$16)))</x:f>
        <x:v>0.128625</x:v>
      </x:c>
      <x:c r="L98" s="118" t="n">
        <x:f>MAX(-20%,'Opportunity Assumptions'!$G$7+'Opportunity Assumptions'!$D$16+'Opportunity Assumptions'!$H$7*'Opportunity Assumptions'!$I$7+(1-'Opportunity Assumptions'!$H$7)*('Opportunity Assumptions'!$B$28*'Opportunity Assumptions'!$J$7-MAX(0,'Opportunity Assumptions'!$C$28+'Opportunity Assumptions'!$G$16)))</x:f>
        <x:v>0.128625</x:v>
      </x:c>
      <x:c r="M98" s="118" t="n">
        <x:f>MAX(-20%,'Opportunity Assumptions'!$G$7+'Opportunity Assumptions'!$D$16+'Opportunity Assumptions'!$H$7*'Opportunity Assumptions'!$I$7+(1-'Opportunity Assumptions'!$H$7)*('Opportunity Assumptions'!$B$29*'Opportunity Assumptions'!$J$7-MAX(0,'Opportunity Assumptions'!$C$29+'Opportunity Assumptions'!$G$16)))</x:f>
        <x:v>0.128625</x:v>
      </x:c>
    </x:row>
    <x:row r="99">
      <x:c r="A99" s="27" t="str">
        <x:v>EBITDA margin</x:v>
      </x:c>
      <x:c r="B99" s="27" t="str">
        <x:v>%</x:v>
      </x:c>
      <x:c r="C99" s="118" t="n">
        <x:v>0</x:v>
      </x:c>
      <x:c r="D99" s="118" t="n">
        <x:f>MAX(3%,MIN(55%,'Opportunity Assumptions'!$K$7+('Opportunity Assumptions'!$L$7-'Opportunity Assumptions'!$K$7)*MIN(1,(1-1)/4)+'Opportunity Assumptions'!$E$16))</x:f>
        <x:v>0.155</x:v>
      </x:c>
      <x:c r="E99" s="118" t="n">
        <x:f>MAX(3%,MIN(55%,'Opportunity Assumptions'!$K$7+('Opportunity Assumptions'!$L$7-'Opportunity Assumptions'!$K$7)*MIN(1,(2-1)/4)+'Opportunity Assumptions'!$E$16))</x:f>
        <x:v>0.17</x:v>
      </x:c>
      <x:c r="F99" s="118" t="n">
        <x:f>MAX(3%,MIN(55%,'Opportunity Assumptions'!$K$7+('Opportunity Assumptions'!$L$7-'Opportunity Assumptions'!$K$7)*MIN(1,(3-1)/4)+'Opportunity Assumptions'!$E$16))</x:f>
        <x:v>0.185</x:v>
      </x:c>
      <x:c r="G99" s="118" t="n">
        <x:f>MAX(3%,MIN(55%,'Opportunity Assumptions'!$K$7+('Opportunity Assumptions'!$L$7-'Opportunity Assumptions'!$K$7)*MIN(1,(4-1)/4)+'Opportunity Assumptions'!$E$16))</x:f>
        <x:v>0.19999999999999998</x:v>
      </x:c>
      <x:c r="H99" s="118" t="n">
        <x:f>MAX(3%,MIN(55%,'Opportunity Assumptions'!$K$7+('Opportunity Assumptions'!$L$7-'Opportunity Assumptions'!$K$7)*MIN(1,(5-1)/4)+'Opportunity Assumptions'!$E$16))</x:f>
        <x:v>0.215</x:v>
      </x:c>
      <x:c r="I99" s="118" t="n">
        <x:f>MAX(3%,MIN(55%,'Opportunity Assumptions'!$K$7+('Opportunity Assumptions'!$L$7-'Opportunity Assumptions'!$K$7)*MIN(1,(6-1)/4)+'Opportunity Assumptions'!$E$16))</x:f>
        <x:v>0.215</x:v>
      </x:c>
      <x:c r="J99" s="118" t="n">
        <x:f>MAX(3%,MIN(55%,'Opportunity Assumptions'!$K$7+('Opportunity Assumptions'!$L$7-'Opportunity Assumptions'!$K$7)*MIN(1,(7-1)/4)+'Opportunity Assumptions'!$E$16))</x:f>
        <x:v>0.215</x:v>
      </x:c>
      <x:c r="K99" s="118" t="n">
        <x:f>MAX(3%,MIN(55%,'Opportunity Assumptions'!$K$7+('Opportunity Assumptions'!$L$7-'Opportunity Assumptions'!$K$7)*MIN(1,(8-1)/4)+'Opportunity Assumptions'!$E$16))</x:f>
        <x:v>0.215</x:v>
      </x:c>
      <x:c r="L99" s="118" t="n">
        <x:f>MAX(3%,MIN(55%,'Opportunity Assumptions'!$K$7+('Opportunity Assumptions'!$L$7-'Opportunity Assumptions'!$K$7)*MIN(1,(9-1)/4)+'Opportunity Assumptions'!$E$16))</x:f>
        <x:v>0.215</x:v>
      </x:c>
      <x:c r="M99" s="118" t="n">
        <x:f>MAX(3%,MIN(55%,'Opportunity Assumptions'!$K$7+('Opportunity Assumptions'!$L$7-'Opportunity Assumptions'!$K$7)*MIN(1,(10-1)/4)+'Opportunity Assumptions'!$E$16))</x:f>
        <x:v>0.215</x:v>
      </x:c>
    </x:row>
    <x:row r="100">
      <x:c r="A100" s="27" t="str">
        <x:v>EBITDA</x:v>
      </x:c>
      <x:c r="B100" s="27" t="str">
        <x:v>$m</x:v>
      </x:c>
      <x:c r="C100" s="117" t="n">
        <x:v>0</x:v>
      </x:c>
      <x:c r="D100" s="117" t="n">
        <x:f>D97*D99</x:f>
        <x:v>0.9374400000000002</x:v>
      </x:c>
      <x:c r="E100" s="117" t="n">
        <x:f>E97*E99</x:f>
        <x:v>1.1595074400000003</x:v>
      </x:c>
      <x:c r="F100" s="117" t="n">
        <x:f>F97*F99</x:f>
        <x:v>1.4241181213350003</x:v>
      </x:c>
      <x:c r="G100" s="117" t="n">
        <x:f>G97*G99</x:f>
        <x:v>1.7376165564234751</x:v>
      </x:c>
      <x:c r="H100" s="117" t="n">
        <x:f>H97*H99</x:f>
        <x:v>2.108201297442953</x:v>
      </x:c>
      <x:c r="I100" s="117" t="n">
        <x:f>I97*I99</x:f>
        <x:v>2.379368689326553</x:v>
      </x:c>
      <x:c r="J100" s="117" t="n">
        <x:f>J97*J99</x:f>
        <x:v>2.6854149869911805</x:v>
      </x:c>
      <x:c r="K100" s="117" t="n">
        <x:f>K97*K99</x:f>
        <x:v>3.0308264896929216</x:v>
      </x:c>
      <x:c r="L100" s="117" t="n">
        <x:f>L97*L99</x:f>
        <x:v>3.4206665469296733</x:v>
      </x:c>
      <x:c r="M100" s="117" t="n">
        <x:f>M97*M99</x:f>
        <x:v>3.860649781528503</x:v>
      </x:c>
    </x:row>
    <x:row r="101">
      <x:c r="A101" s="27" t="str">
        <x:v>D&amp;A</x:v>
      </x:c>
      <x:c r="B101" s="27" t="str">
        <x:v>$m</x:v>
      </x:c>
      <x:c r="C101" s="117" t="n">
        <x:v>0</x:v>
      </x:c>
      <x:c r="D101" s="117" t="n">
        <x:f>D97*'Opportunity Assumptions'!$M$7</x:f>
        <x:v>0.21168000000000006</x:v>
      </x:c>
      <x:c r="E101" s="117" t="n">
        <x:f>E97*'Opportunity Assumptions'!$M$7</x:f>
        <x:v>0.23872212000000007</x:v>
      </x:c>
      <x:c r="F101" s="117" t="n">
        <x:f>F97*'Opportunity Assumptions'!$M$7</x:f>
        <x:v>0.2694277526850001</x:v>
      </x:c>
      <x:c r="G101" s="117" t="n">
        <x:f>G97*'Opportunity Assumptions'!$M$7</x:f>
        <x:v>0.3040828973741082</x:v>
      </x:c>
      <x:c r="H101" s="117" t="n">
        <x:f>H97*'Opportunity Assumptions'!$M$7</x:f>
        <x:v>0.3431955600488529</x:v>
      </x:c>
      <x:c r="I101" s="117" t="n">
        <x:f>I97*'Opportunity Assumptions'!$M$7</x:f>
        <x:v>0.3873390889601366</x:v>
      </x:c>
      <x:c r="J101" s="117" t="n">
        <x:f>J97*'Opportunity Assumptions'!$M$7</x:f>
        <x:v>0.43716057927763413</x:v>
      </x:c>
      <x:c r="K101" s="117" t="n">
        <x:f>K97*'Opportunity Assumptions'!$M$7</x:f>
        <x:v>0.4933903587872198</x:v>
      </x:c>
      <x:c r="L101" s="117" t="n">
        <x:f>L97*'Opportunity Assumptions'!$M$7</x:f>
        <x:v>0.5568526936862259</x:v>
      </x:c>
      <x:c r="M101" s="117" t="n">
        <x:f>M97*'Opportunity Assumptions'!$M$7</x:f>
        <x:v>0.6284778714116168</x:v>
      </x:c>
    </x:row>
    <x:row r="102">
      <x:c r="A102" s="27" t="str">
        <x:v>EBIT</x:v>
      </x:c>
      <x:c r="B102" s="27" t="str">
        <x:v>$m</x:v>
      </x:c>
      <x:c r="C102" s="117" t="n">
        <x:v>0</x:v>
      </x:c>
      <x:c r="D102" s="117" t="n">
        <x:f>D100-D101</x:f>
        <x:v>0.7257600000000001</x:v>
      </x:c>
      <x:c r="E102" s="117" t="n">
        <x:f>E100-E101</x:f>
        <x:v>0.9207853200000002</x:v>
      </x:c>
      <x:c r="F102" s="117" t="n">
        <x:f>F100-F101</x:f>
        <x:v>1.1546903686500003</x:v>
      </x:c>
      <x:c r="G102" s="117" t="n">
        <x:f>G100-G101</x:f>
        <x:v>1.4335336590493668</x:v>
      </x:c>
      <x:c r="H102" s="117" t="n">
        <x:f>H100-H101</x:f>
        <x:v>1.7650057373941004</x:v>
      </x:c>
      <x:c r="I102" s="117" t="n">
        <x:f>I100-I101</x:f>
        <x:v>1.9920296003664166</x:v>
      </x:c>
      <x:c r="J102" s="117" t="n">
        <x:f>J100-J101</x:f>
        <x:v>2.2482544077135462</x:v>
      </x:c>
      <x:c r="K102" s="117" t="n">
        <x:f>K100-K101</x:f>
        <x:v>2.537436130905702</x:v>
      </x:c>
      <x:c r="L102" s="117" t="n">
        <x:f>L100-L101</x:f>
        <x:v>2.8638138532434474</x:v>
      </x:c>
      <x:c r="M102" s="117" t="n">
        <x:f>M100-M101</x:f>
        <x:v>3.232171910116886</x:v>
      </x:c>
    </x:row>
    <x:row r="103">
      <x:c r="A103" s="27" t="str">
        <x:v>Corporate tax</x:v>
      </x:c>
      <x:c r="B103" s="27" t="str">
        <x:v>$m</x:v>
      </x:c>
      <x:c r="C103" s="117" t="n">
        <x:v>0</x:v>
      </x:c>
      <x:c r="D103" s="117" t="n">
        <x:f>MAX(0,D102)*'Opportunity Assumptions'!$D$20</x:f>
        <x:v>0.1306368</x:v>
      </x:c>
      <x:c r="E103" s="117" t="n">
        <x:f>MAX(0,E102)*'Opportunity Assumptions'!$D$21</x:f>
        <x:v>0.16574135760000003</x:v>
      </x:c>
      <x:c r="F103" s="117" t="n">
        <x:f>MAX(0,F102)*'Opportunity Assumptions'!$D$22</x:f>
        <x:v>0.20784426635700004</x:v>
      </x:c>
      <x:c r="G103" s="117" t="n">
        <x:f>MAX(0,G102)*'Opportunity Assumptions'!$D$23</x:f>
        <x:v>0.258036058628886</x:v>
      </x:c>
      <x:c r="H103" s="117" t="n">
        <x:f>MAX(0,H102)*'Opportunity Assumptions'!$D$24</x:f>
        <x:v>0.3177010327309381</x:v>
      </x:c>
      <x:c r="I103" s="117" t="n">
        <x:f>MAX(0,I102)*'Opportunity Assumptions'!$D$25</x:f>
        <x:v>0.358565328065955</x:v>
      </x:c>
      <x:c r="J103" s="117" t="n">
        <x:f>MAX(0,J102)*'Opportunity Assumptions'!$D$26</x:f>
        <x:v>0.4046857933884383</x:v>
      </x:c>
      <x:c r="K103" s="117" t="n">
        <x:f>MAX(0,K102)*'Opportunity Assumptions'!$D$27</x:f>
        <x:v>0.4567385035630263</x:v>
      </x:c>
      <x:c r="L103" s="117" t="n">
        <x:f>MAX(0,L102)*'Opportunity Assumptions'!$D$28</x:f>
        <x:v>0.5154864935838205</x:v>
      </x:c>
      <x:c r="M103" s="117" t="n">
        <x:f>MAX(0,M102)*'Opportunity Assumptions'!$D$29</x:f>
        <x:v>0.5817909438210395</x:v>
      </x:c>
    </x:row>
    <x:row r="104">
      <x:c r="A104" s="27" t="str">
        <x:v>Capex</x:v>
      </x:c>
      <x:c r="B104" s="27" t="str">
        <x:v>$m</x:v>
      </x:c>
      <x:c r="C104" s="117" t="n">
        <x:v>0</x:v>
      </x:c>
      <x:c r="D104" s="117" t="n">
        <x:f>D97*'Opportunity Assumptions'!$N$7</x:f>
        <x:v>0.27216</x:v>
      </x:c>
      <x:c r="E104" s="117" t="n">
        <x:f>E97*'Opportunity Assumptions'!$N$7</x:f>
        <x:v>0.3069284400000001</x:v>
      </x:c>
      <x:c r="F104" s="117" t="n">
        <x:f>F97*'Opportunity Assumptions'!$N$7</x:f>
        <x:v>0.34640711059500007</x:v>
      </x:c>
      <x:c r="G104" s="117" t="n">
        <x:f>G97*'Opportunity Assumptions'!$N$7</x:f>
        <x:v>0.39096372519528194</x:v>
      </x:c>
      <x:c r="H104" s="117" t="n">
        <x:f>H97*'Opportunity Assumptions'!$N$7</x:f>
        <x:v>0.44125143434852504</x:v>
      </x:c>
      <x:c r="I104" s="117" t="n">
        <x:f>I97*'Opportunity Assumptions'!$N$7</x:f>
        <x:v>0.4980074000916041</x:v>
      </x:c>
      <x:c r="J104" s="117" t="n">
        <x:f>J97*'Opportunity Assumptions'!$N$7</x:f>
        <x:v>0.5620636019283867</x:v>
      </x:c>
      <x:c r="K104" s="117" t="n">
        <x:f>K97*'Opportunity Assumptions'!$N$7</x:f>
        <x:v>0.6343590327264254</x:v>
      </x:c>
      <x:c r="L104" s="117" t="n">
        <x:f>L97*'Opportunity Assumptions'!$N$7</x:f>
        <x:v>0.7159534633108618</x:v>
      </x:c>
      <x:c r="M104" s="117" t="n">
        <x:f>M97*'Opportunity Assumptions'!$N$7</x:f>
        <x:v>0.8080429775292215</x:v>
      </x:c>
    </x:row>
    <x:row r="105">
      <x:c r="A105" s="27" t="str">
        <x:v>Change in NWC</x:v>
      </x:c>
      <x:c r="B105" s="27" t="str">
        <x:v>$m</x:v>
      </x:c>
      <x:c r="C105" s="117" t="n">
        <x:v>0</x:v>
      </x:c>
      <x:c r="D105" s="117" t="n">
        <x:f>0</x:f>
        <x:v>0</x:v>
      </x:c>
      <x:c r="E105" s="117" t="n">
        <x:f>(E97-D97)*'Opportunity Assumptions'!$O$7</x:f>
        <x:v>0.11589480000000009</x:v>
      </x:c>
      <x:c r="F105" s="117" t="n">
        <x:f>(F97-E97)*'Opportunity Assumptions'!$O$7</x:f>
        <x:v>0.13159556865000002</x:v>
      </x:c>
      <x:c r="G105" s="117" t="n">
        <x:f>(G97-F97)*'Opportunity Assumptions'!$O$7</x:f>
        <x:v>0.14852204866760624</x:v>
      </x:c>
      <x:c r="H105" s="117" t="n">
        <x:f>(H97-G97)*'Opportunity Assumptions'!$O$7</x:f>
        <x:v>0.16762569717747702</x:v>
      </x:c>
      <x:c r="I105" s="117" t="n">
        <x:f>(I97-H97)*'Opportunity Assumptions'!$O$7</x:f>
        <x:v>0.1891865524769302</x:v>
      </x:c>
      <x:c r="J105" s="117" t="n">
        <x:f>(J97-I97)*'Opportunity Assumptions'!$O$7</x:f>
        <x:v>0.21352067278927514</x:v>
      </x:c>
      <x:c r="K105" s="117" t="n">
        <x:f>(K97-J97)*'Opportunity Assumptions'!$O$7</x:f>
        <x:v>0.24098476932679586</x:v>
      </x:c>
      <x:c r="L105" s="117" t="n">
        <x:f>(L97-K97)*'Opportunity Assumptions'!$O$7</x:f>
        <x:v>0.27198143528145474</x:v>
      </x:c>
      <x:c r="M105" s="117" t="n">
        <x:f>(M97-L97)*'Opportunity Assumptions'!$O$7</x:f>
        <x:v>0.30696504739453223</x:v>
      </x:c>
    </x:row>
    <x:row r="106">
      <x:c r="A106" s="27" t="str">
        <x:v>Free cash flow</x:v>
      </x:c>
      <x:c r="B106" s="27" t="str">
        <x:v>$m</x:v>
      </x:c>
      <x:c r="C106" s="117" t="n">
        <x:v>0</x:v>
      </x:c>
      <x:c r="D106" s="117" t="n">
        <x:f>D100-D103-D104-D105</x:f>
        <x:v>0.5346432000000001</x:v>
      </x:c>
      <x:c r="E106" s="117" t="n">
        <x:f>E100-E103-E104-E105</x:f>
        <x:v>0.5709428424000002</x:v>
      </x:c>
      <x:c r="F106" s="117" t="n">
        <x:f>F100-F103-F104-F105</x:f>
        <x:v>0.738271175733</x:v>
      </x:c>
      <x:c r="G106" s="117" t="n">
        <x:f>G100-G103-G104-G105</x:f>
        <x:v>0.9400947239317008</x:v>
      </x:c>
      <x:c r="H106" s="117" t="n">
        <x:f>H100-H103-H104-H105</x:f>
        <x:v>1.1816231331860132</x:v>
      </x:c>
      <x:c r="I106" s="117" t="n">
        <x:f>I100-I103-I104-I105</x:f>
        <x:v>1.3336094086920638</x:v>
      </x:c>
      <x:c r="J106" s="117" t="n">
        <x:f>J100-J103-J104-J105</x:f>
        <x:v>1.5051449188850805</x:v>
      </x:c>
      <x:c r="K106" s="117" t="n">
        <x:f>K100-K103-K104-K105</x:f>
        <x:v>1.6987441840766737</x:v>
      </x:c>
      <x:c r="L106" s="117" t="n">
        <x:f>L100-L103-L104-L105</x:f>
        <x:v>1.917245154753536</x:v>
      </x:c>
      <x:c r="M106" s="117" t="n">
        <x:f>M100-M103-M104-M105</x:f>
        <x:v>2.1638508127837097</x:v>
      </x:c>
    </x:row>
    <x:row r="107">
      <x:c r="A107" s="27" t="str">
        <x:v>Terminal value</x:v>
      </x:c>
      <x:c r="B107" s="27" t="str">
        <x:v>$m</x:v>
      </x:c>
      <x:c r="C107" s="117" t="n">
        <x:v>0</x:v>
      </x:c>
      <x:c r="D107" s="117" t="n">
        <x:f>0</x:f>
        <x:v>0</x:v>
      </x:c>
      <x:c r="E107" s="117" t="n">
        <x:f>0</x:f>
        <x:v>0</x:v>
      </x:c>
      <x:c r="F107" s="117" t="n">
        <x:f>0</x:f>
        <x:v>0</x:v>
      </x:c>
      <x:c r="G107" s="117" t="n">
        <x:f>0</x:f>
        <x:v>0</x:v>
      </x:c>
      <x:c r="H107" s="117" t="n">
        <x:f>0</x:f>
        <x:v>0</x:v>
      </x:c>
      <x:c r="I107" s="117" t="n">
        <x:f>0</x:f>
        <x:v>0</x:v>
      </x:c>
      <x:c r="J107" s="117" t="n">
        <x:f>0</x:f>
        <x:v>0</x:v>
      </x:c>
      <x:c r="K107" s="117" t="n">
        <x:f>0</x:f>
        <x:v>0</x:v>
      </x:c>
      <x:c r="L107" s="117" t="n">
        <x:f>0</x:f>
        <x:v>0</x:v>
      </x:c>
      <x:c r="M107" s="117" t="n">
        <x:f>M100*'Opportunity Assumptions'!$P$7*'Opportunity Assumptions'!$F$16</x:f>
        <x:v>24.708158601782415</x:v>
      </x:c>
    </x:row>
    <x:row r="108">
      <x:c r="A108" s="119" t="str">
        <x:v>Equity cash flow</x:v>
      </x:c>
      <x:c r="B108" s="119" t="str">
        <x:v>$m</x:v>
      </x:c>
      <x:c r="C108" s="120" t="n">
        <x:f>-'Opportunity Assumptions'!$D$7</x:f>
        <x:v>-3</x:v>
      </x:c>
      <x:c r="D108" s="120" t="n">
        <x:f>IF(1&lt;='Opportunity Assumptions'!$H$16,MIN(0,D106),D106)+D107</x:f>
        <x:v>0</x:v>
      </x:c>
      <x:c r="E108" s="120" t="n">
        <x:f>IF(2&lt;='Opportunity Assumptions'!$H$16,MIN(0,E106),E106)+E107</x:f>
        <x:v>0.5709428424000002</x:v>
      </x:c>
      <x:c r="F108" s="120" t="n">
        <x:f>IF(3&lt;='Opportunity Assumptions'!$H$16,MIN(0,F106),F106)+F107</x:f>
        <x:v>0.738271175733</x:v>
      </x:c>
      <x:c r="G108" s="120" t="n">
        <x:f>IF(4&lt;='Opportunity Assumptions'!$H$16,MIN(0,G106),G106)+G107</x:f>
        <x:v>0.9400947239317008</x:v>
      </x:c>
      <x:c r="H108" s="120" t="n">
        <x:f>IF(5&lt;='Opportunity Assumptions'!$H$16,MIN(0,H106),H106)+H107</x:f>
        <x:v>1.1816231331860132</x:v>
      </x:c>
      <x:c r="I108" s="120" t="n">
        <x:f>IF(6&lt;='Opportunity Assumptions'!$H$16,MIN(0,I106),I106)+I107</x:f>
        <x:v>1.3336094086920638</x:v>
      </x:c>
      <x:c r="J108" s="120" t="n">
        <x:f>IF(7&lt;='Opportunity Assumptions'!$H$16,MIN(0,J106),J106)+J107</x:f>
        <x:v>1.5051449188850805</x:v>
      </x:c>
      <x:c r="K108" s="120" t="n">
        <x:f>IF(8&lt;='Opportunity Assumptions'!$H$16,MIN(0,K106),K106)+K107</x:f>
        <x:v>1.6987441840766737</x:v>
      </x:c>
      <x:c r="L108" s="120" t="n">
        <x:f>IF(9&lt;='Opportunity Assumptions'!$H$16,MIN(0,L106),L106)+L107</x:f>
        <x:v>1.917245154753536</x:v>
      </x:c>
      <x:c r="M108" s="120" t="n">
        <x:f>IF(10&lt;='Opportunity Assumptions'!$H$16,MIN(0,M106),M106)+M107</x:f>
        <x:v>26.872009414566126</x:v>
      </x:c>
    </x:row>
    <x:row r="109">
      <x:c r="A109" s="27" t="str">
        <x:v>Gross USD IRR</x:v>
      </x:c>
      <x:c r="B109" s="27" t="str">
        <x:v>%</x:v>
      </x:c>
      <x:c r="C109" s="118" t="n">
        <x:f>IF(AND(MIN(C108:M108)&lt;0,MAX(C108:M108)&gt;0),IRR(C108:M108),"")</x:f>
        <x:v>0.36153677776347815</x:v>
      </x:c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</x:row>
    <x:row r="110">
      <x:c r="A110" s="27" t="str">
        <x:v>Gross USD MOIC</x:v>
      </x:c>
      <x:c r="B110" s="27" t="str">
        <x:v>x</x:v>
      </x:c>
      <x:c r="C110" s="121" t="n">
        <x:f>SUMIF(C108:M108,"&gt;0",C108:M108)/-SUMIF(C108:M108,"&lt;0",C108:M108)</x:f>
        <x:v>12.252561652074732</x:v>
      </x:c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</x:row>
    <x:row r="111">
      <x:c r="A111" s="27" t="str">
        <x:v>NPV @ 20%</x:v>
      </x:c>
      <x:c r="B111" s="27" t="str">
        <x:v>$m</x:v>
      </x:c>
      <x:c r="C111" s="117" t="n">
        <x:f>NPV('Opportunity Assumptions'!$E$20,D108:M108)+C108</x:f>
        <x:v>4.725269286322974</x:v>
      </x:c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</x:row>
    <x:row r="113">
      <x:c r="A113" s="32" t="str">
        <x:v>Low-carbon construction materials plant — Downside</x:v>
      </x:c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</x:row>
    <x:row r="114">
      <x:c r="A114" s="28" t="str">
        <x:v>Metric</x:v>
      </x:c>
      <x:c r="B114" s="28" t="str">
        <x:v>Units</x:v>
      </x:c>
      <x:c r="C114" s="28" t="n">
        <x:v>0</x:v>
      </x:c>
      <x:c r="D114" s="28" t="n">
        <x:v>1</x:v>
      </x:c>
      <x:c r="E114" s="28" t="n">
        <x:v>2</x:v>
      </x:c>
      <x:c r="F114" s="28" t="n">
        <x:v>3</x:v>
      </x:c>
      <x:c r="G114" s="28" t="n">
        <x:v>4</x:v>
      </x:c>
      <x:c r="H114" s="28" t="n">
        <x:v>5</x:v>
      </x:c>
      <x:c r="I114" s="28" t="n">
        <x:v>6</x:v>
      </x:c>
      <x:c r="J114" s="28" t="n">
        <x:v>7</x:v>
      </x:c>
      <x:c r="K114" s="28" t="n">
        <x:v>8</x:v>
      </x:c>
      <x:c r="L114" s="28" t="n">
        <x:v>9</x:v>
      </x:c>
      <x:c r="M114" s="28" t="n">
        <x:v>10</x:v>
      </x:c>
    </x:row>
    <x:row r="115">
      <x:c r="A115" s="27" t="str">
        <x:v>Revenue</x:v>
      </x:c>
      <x:c r="B115" s="27" t="str">
        <x:v>$m</x:v>
      </x:c>
      <x:c r="C115" s="117" t="n">
        <x:v>0</x:v>
      </x:c>
      <x:c r="D115" s="117" t="n">
        <x:f>'Opportunity Assumptions'!$D$8*'Opportunity Assumptions'!$F$8*'Opportunity Assumptions'!$C$14</x:f>
        <x:v>1.5749999999999997</x:v>
      </x:c>
      <x:c r="E115" s="117" t="n">
        <x:f>D115*(1+E116)</x:f>
        <x:v>1.5162839999999997</x:v>
      </x:c>
      <x:c r="F115" s="117" t="n">
        <x:f>E115*(1+F116)</x:f>
        <x:v>1.4618494043999997</x:v>
      </x:c>
      <x:c r="G115" s="117" t="n">
        <x:f>F115*(1+G116)</x:f>
        <x:v>1.4093690107820396</x:v>
      </x:c>
      <x:c r="H115" s="117" t="n">
        <x:f>G115*(1+H116)</x:f>
        <x:v>1.3587726632949644</x:v>
      </x:c>
      <x:c r="I115" s="117" t="n">
        <x:f>H115*(1+I116)</x:f>
        <x:v>1.309992724682675</x:v>
      </x:c>
      <x:c r="J115" s="117" t="n">
        <x:f>I115*(1+J116)</x:f>
        <x:v>1.2629639858665669</x:v>
      </x:c>
      <x:c r="K115" s="117" t="n">
        <x:f>J115*(1+K116)</x:f>
        <x:v>1.217623578773957</x:v>
      </x:c>
      <x:c r="L115" s="117" t="n">
        <x:f>K115*(1+L116)</x:f>
        <x:v>1.173910892295972</x:v>
      </x:c>
      <x:c r="M115" s="117" t="n">
        <x:f>L115*(1+M116)</x:f>
        <x:v>1.1317674912625466</x:v>
      </x:c>
    </x:row>
    <x:row r="116">
      <x:c r="A116" s="27" t="str">
        <x:v>USD revenue growth</x:v>
      </x:c>
      <x:c r="B116" s="27" t="str">
        <x:v>%</x:v>
      </x:c>
      <x:c r="C116" s="118" t="n">
        <x:v>0</x:v>
      </x:c>
      <x:c r="D116" s="118"/>
      <x:c r="E116" s="118" t="n">
        <x:f>MAX(-20%,'Opportunity Assumptions'!$G$8+'Opportunity Assumptions'!$D$14+'Opportunity Assumptions'!$H$8*'Opportunity Assumptions'!$I$8+(1-'Opportunity Assumptions'!$H$8)*('Opportunity Assumptions'!$B$21*'Opportunity Assumptions'!$J$8-MAX(0,'Opportunity Assumptions'!$C$21+'Opportunity Assumptions'!$G$14)))</x:f>
        <x:v>-0.03728000000000001</x:v>
      </x:c>
      <x:c r="F116" s="118" t="n">
        <x:f>MAX(-20%,'Opportunity Assumptions'!$G$8+'Opportunity Assumptions'!$D$14+'Opportunity Assumptions'!$H$8*'Opportunity Assumptions'!$I$8+(1-'Opportunity Assumptions'!$H$8)*('Opportunity Assumptions'!$B$22*'Opportunity Assumptions'!$J$8-MAX(0,'Opportunity Assumptions'!$C$22+'Opportunity Assumptions'!$G$14)))</x:f>
        <x:v>-0.0359</x:v>
      </x:c>
      <x:c r="G116" s="118" t="n">
        <x:f>MAX(-20%,'Opportunity Assumptions'!$G$8+'Opportunity Assumptions'!$D$14+'Opportunity Assumptions'!$H$8*'Opportunity Assumptions'!$I$8+(1-'Opportunity Assumptions'!$H$8)*('Opportunity Assumptions'!$B$23*'Opportunity Assumptions'!$J$8-MAX(0,'Opportunity Assumptions'!$C$23+'Opportunity Assumptions'!$G$14)))</x:f>
        <x:v>-0.0359</x:v>
      </x:c>
      <x:c r="H116" s="118" t="n">
        <x:f>MAX(-20%,'Opportunity Assumptions'!$G$8+'Opportunity Assumptions'!$D$14+'Opportunity Assumptions'!$H$8*'Opportunity Assumptions'!$I$8+(1-'Opportunity Assumptions'!$H$8)*('Opportunity Assumptions'!$B$24*'Opportunity Assumptions'!$J$8-MAX(0,'Opportunity Assumptions'!$C$24+'Opportunity Assumptions'!$G$14)))</x:f>
        <x:v>-0.0359</x:v>
      </x:c>
      <x:c r="I116" s="118" t="n">
        <x:f>MAX(-20%,'Opportunity Assumptions'!$G$8+'Opportunity Assumptions'!$D$14+'Opportunity Assumptions'!$H$8*'Opportunity Assumptions'!$I$8+(1-'Opportunity Assumptions'!$H$8)*('Opportunity Assumptions'!$B$25*'Opportunity Assumptions'!$J$8-MAX(0,'Opportunity Assumptions'!$C$25+'Opportunity Assumptions'!$G$14)))</x:f>
        <x:v>-0.0359</x:v>
      </x:c>
      <x:c r="J116" s="118" t="n">
        <x:f>MAX(-20%,'Opportunity Assumptions'!$G$8+'Opportunity Assumptions'!$D$14+'Opportunity Assumptions'!$H$8*'Opportunity Assumptions'!$I$8+(1-'Opportunity Assumptions'!$H$8)*('Opportunity Assumptions'!$B$26*'Opportunity Assumptions'!$J$8-MAX(0,'Opportunity Assumptions'!$C$26+'Opportunity Assumptions'!$G$14)))</x:f>
        <x:v>-0.0359</x:v>
      </x:c>
      <x:c r="K116" s="118" t="n">
        <x:f>MAX(-20%,'Opportunity Assumptions'!$G$8+'Opportunity Assumptions'!$D$14+'Opportunity Assumptions'!$H$8*'Opportunity Assumptions'!$I$8+(1-'Opportunity Assumptions'!$H$8)*('Opportunity Assumptions'!$B$27*'Opportunity Assumptions'!$J$8-MAX(0,'Opportunity Assumptions'!$C$27+'Opportunity Assumptions'!$G$14)))</x:f>
        <x:v>-0.0359</x:v>
      </x:c>
      <x:c r="L116" s="118" t="n">
        <x:f>MAX(-20%,'Opportunity Assumptions'!$G$8+'Opportunity Assumptions'!$D$14+'Opportunity Assumptions'!$H$8*'Opportunity Assumptions'!$I$8+(1-'Opportunity Assumptions'!$H$8)*('Opportunity Assumptions'!$B$28*'Opportunity Assumptions'!$J$8-MAX(0,'Opportunity Assumptions'!$C$28+'Opportunity Assumptions'!$G$14)))</x:f>
        <x:v>-0.0359</x:v>
      </x:c>
      <x:c r="M116" s="118" t="n">
        <x:f>MAX(-20%,'Opportunity Assumptions'!$G$8+'Opportunity Assumptions'!$D$14+'Opportunity Assumptions'!$H$8*'Opportunity Assumptions'!$I$8+(1-'Opportunity Assumptions'!$H$8)*('Opportunity Assumptions'!$B$29*'Opportunity Assumptions'!$J$8-MAX(0,'Opportunity Assumptions'!$C$29+'Opportunity Assumptions'!$G$14)))</x:f>
        <x:v>-0.0359</x:v>
      </x:c>
    </x:row>
    <x:row r="117">
      <x:c r="A117" s="27" t="str">
        <x:v>EBITDA margin</x:v>
      </x:c>
      <x:c r="B117" s="27" t="str">
        <x:v>%</x:v>
      </x:c>
      <x:c r="C117" s="118" t="n">
        <x:v>0</x:v>
      </x:c>
      <x:c r="D117" s="118" t="n">
        <x:f>MAX(3%,MIN(55%,'Opportunity Assumptions'!$K$8+('Opportunity Assumptions'!$L$8-'Opportunity Assumptions'!$K$8)*MIN(1,(1-1)/4)+'Opportunity Assumptions'!$E$14))</x:f>
        <x:v>0.1</x:v>
      </x:c>
      <x:c r="E117" s="118" t="n">
        <x:f>MAX(3%,MIN(55%,'Opportunity Assumptions'!$K$8+('Opportunity Assumptions'!$L$8-'Opportunity Assumptions'!$K$8)*MIN(1,(2-1)/4)+'Opportunity Assumptions'!$E$14))</x:f>
        <x:v>0.11499999999999999</x:v>
      </x:c>
      <x:c r="F117" s="118" t="n">
        <x:f>MAX(3%,MIN(55%,'Opportunity Assumptions'!$K$8+('Opportunity Assumptions'!$L$8-'Opportunity Assumptions'!$K$8)*MIN(1,(3-1)/4)+'Opportunity Assumptions'!$E$14))</x:f>
        <x:v>0.13</x:v>
      </x:c>
      <x:c r="G117" s="118" t="n">
        <x:f>MAX(3%,MIN(55%,'Opportunity Assumptions'!$K$8+('Opportunity Assumptions'!$L$8-'Opportunity Assumptions'!$K$8)*MIN(1,(4-1)/4)+'Opportunity Assumptions'!$E$14))</x:f>
        <x:v>0.14500000000000002</x:v>
      </x:c>
      <x:c r="H117" s="118" t="n">
        <x:f>MAX(3%,MIN(55%,'Opportunity Assumptions'!$K$8+('Opportunity Assumptions'!$L$8-'Opportunity Assumptions'!$K$8)*MIN(1,(5-1)/4)+'Opportunity Assumptions'!$E$14))</x:f>
        <x:v>0.16</x:v>
      </x:c>
      <x:c r="I117" s="118" t="n">
        <x:f>MAX(3%,MIN(55%,'Opportunity Assumptions'!$K$8+('Opportunity Assumptions'!$L$8-'Opportunity Assumptions'!$K$8)*MIN(1,(6-1)/4)+'Opportunity Assumptions'!$E$14))</x:f>
        <x:v>0.16</x:v>
      </x:c>
      <x:c r="J117" s="118" t="n">
        <x:f>MAX(3%,MIN(55%,'Opportunity Assumptions'!$K$8+('Opportunity Assumptions'!$L$8-'Opportunity Assumptions'!$K$8)*MIN(1,(7-1)/4)+'Opportunity Assumptions'!$E$14))</x:f>
        <x:v>0.16</x:v>
      </x:c>
      <x:c r="K117" s="118" t="n">
        <x:f>MAX(3%,MIN(55%,'Opportunity Assumptions'!$K$8+('Opportunity Assumptions'!$L$8-'Opportunity Assumptions'!$K$8)*MIN(1,(8-1)/4)+'Opportunity Assumptions'!$E$14))</x:f>
        <x:v>0.16</x:v>
      </x:c>
      <x:c r="L117" s="118" t="n">
        <x:f>MAX(3%,MIN(55%,'Opportunity Assumptions'!$K$8+('Opportunity Assumptions'!$L$8-'Opportunity Assumptions'!$K$8)*MIN(1,(9-1)/4)+'Opportunity Assumptions'!$E$14))</x:f>
        <x:v>0.16</x:v>
      </x:c>
      <x:c r="M117" s="118" t="n">
        <x:f>MAX(3%,MIN(55%,'Opportunity Assumptions'!$K$8+('Opportunity Assumptions'!$L$8-'Opportunity Assumptions'!$K$8)*MIN(1,(10-1)/4)+'Opportunity Assumptions'!$E$14))</x:f>
        <x:v>0.16</x:v>
      </x:c>
    </x:row>
    <x:row r="118">
      <x:c r="A118" s="27" t="str">
        <x:v>EBITDA</x:v>
      </x:c>
      <x:c r="B118" s="27" t="str">
        <x:v>$m</x:v>
      </x:c>
      <x:c r="C118" s="117" t="n">
        <x:v>0</x:v>
      </x:c>
      <x:c r="D118" s="117" t="n">
        <x:f>D115*D117</x:f>
        <x:v>0.15749999999999997</x:v>
      </x:c>
      <x:c r="E118" s="117" t="n">
        <x:f>E115*E117</x:f>
        <x:v>0.17437265999999996</x:v>
      </x:c>
      <x:c r="F118" s="117" t="n">
        <x:f>F115*F117</x:f>
        <x:v>0.19004042257199996</x:v>
      </x:c>
      <x:c r="G118" s="117" t="n">
        <x:f>G115*G117</x:f>
        <x:v>0.20435850656339577</x:v>
      </x:c>
      <x:c r="H118" s="117" t="n">
        <x:f>H115*H117</x:f>
        <x:v>0.2174036261271943</x:v>
      </x:c>
      <x:c r="I118" s="117" t="n">
        <x:f>I115*I117</x:f>
        <x:v>0.209598835949228</x:v>
      </x:c>
      <x:c r="J118" s="117" t="n">
        <x:f>J115*J117</x:f>
        <x:v>0.2020742377386507</x:v>
      </x:c>
      <x:c r="K118" s="117" t="n">
        <x:f>K115*K117</x:f>
        <x:v>0.19481977260383315</x:v>
      </x:c>
      <x:c r="L118" s="117" t="n">
        <x:f>L115*L117</x:f>
        <x:v>0.18782574276735553</x:v>
      </x:c>
      <x:c r="M118" s="117" t="n">
        <x:f>M115*M117</x:f>
        <x:v>0.18108279860200746</x:v>
      </x:c>
    </x:row>
    <x:row r="119">
      <x:c r="A119" s="27" t="str">
        <x:v>D&amp;A</x:v>
      </x:c>
      <x:c r="B119" s="27" t="str">
        <x:v>$m</x:v>
      </x:c>
      <x:c r="C119" s="117" t="n">
        <x:v>0</x:v>
      </x:c>
      <x:c r="D119" s="117" t="n">
        <x:f>D115*'Opportunity Assumptions'!$M$8</x:f>
        <x:v>0.07087499999999998</x:v>
      </x:c>
      <x:c r="E119" s="117" t="n">
        <x:f>E115*'Opportunity Assumptions'!$M$8</x:f>
        <x:v>0.06823277999999998</x:v>
      </x:c>
      <x:c r="F119" s="117" t="n">
        <x:f>F115*'Opportunity Assumptions'!$M$8</x:f>
        <x:v>0.06578322319799998</x:v>
      </x:c>
      <x:c r="G119" s="117" t="n">
        <x:f>G115*'Opportunity Assumptions'!$M$8</x:f>
        <x:v>0.06342160548519178</x:v>
      </x:c>
      <x:c r="H119" s="117" t="n">
        <x:f>H115*'Opportunity Assumptions'!$M$8</x:f>
        <x:v>0.0611447698482734</x:v>
      </x:c>
      <x:c r="I119" s="117" t="n">
        <x:f>I115*'Opportunity Assumptions'!$M$8</x:f>
        <x:v>0.05894967261072037</x:v>
      </x:c>
      <x:c r="J119" s="117" t="n">
        <x:f>J115*'Opportunity Assumptions'!$M$8</x:f>
        <x:v>0.05683337936399551</x:v>
      </x:c>
      <x:c r="K119" s="117" t="n">
        <x:f>K115*'Opportunity Assumptions'!$M$8</x:f>
        <x:v>0.05479306104482807</x:v>
      </x:c>
      <x:c r="L119" s="117" t="n">
        <x:f>L115*'Opportunity Assumptions'!$M$8</x:f>
        <x:v>0.052825990153318736</x:v>
      </x:c>
      <x:c r="M119" s="117" t="n">
        <x:f>M115*'Opportunity Assumptions'!$M$8</x:f>
        <x:v>0.050929537106814596</x:v>
      </x:c>
    </x:row>
    <x:row r="120">
      <x:c r="A120" s="27" t="str">
        <x:v>EBIT</x:v>
      </x:c>
      <x:c r="B120" s="27" t="str">
        <x:v>$m</x:v>
      </x:c>
      <x:c r="C120" s="117" t="n">
        <x:v>0</x:v>
      </x:c>
      <x:c r="D120" s="117" t="n">
        <x:f>D118-D119</x:f>
        <x:v>0.086625</x:v>
      </x:c>
      <x:c r="E120" s="117" t="n">
        <x:f>E118-E119</x:f>
        <x:v>0.10613987999999998</x:v>
      </x:c>
      <x:c r="F120" s="117" t="n">
        <x:f>F118-F119</x:f>
        <x:v>0.12425719937399998</x:v>
      </x:c>
      <x:c r="G120" s="117" t="n">
        <x:f>G118-G119</x:f>
        <x:v>0.140936901078204</x:v>
      </x:c>
      <x:c r="H120" s="117" t="n">
        <x:f>H118-H119</x:f>
        <x:v>0.1562588562789209</x:v>
      </x:c>
      <x:c r="I120" s="117" t="n">
        <x:f>I118-I119</x:f>
        <x:v>0.15064916333850764</x:v>
      </x:c>
      <x:c r="J120" s="117" t="n">
        <x:f>J118-J119</x:f>
        <x:v>0.1452408583746552</x:v>
      </x:c>
      <x:c r="K120" s="117" t="n">
        <x:f>K118-K119</x:f>
        <x:v>0.1400267115590051</x:v>
      </x:c>
      <x:c r="L120" s="117" t="n">
        <x:f>L118-L119</x:f>
        <x:v>0.1349997526140368</x:v>
      </x:c>
      <x:c r="M120" s="117" t="n">
        <x:f>M118-M119</x:f>
        <x:v>0.13015326149519285</x:v>
      </x:c>
    </x:row>
    <x:row r="121">
      <x:c r="A121" s="27" t="str">
        <x:v>Corporate tax</x:v>
      </x:c>
      <x:c r="B121" s="27" t="str">
        <x:v>$m</x:v>
      </x:c>
      <x:c r="C121" s="117" t="n">
        <x:v>0</x:v>
      </x:c>
      <x:c r="D121" s="117" t="n">
        <x:f>MAX(0,D120)*'Opportunity Assumptions'!$D$20</x:f>
        <x:v>0.015592499999999999</x:v>
      </x:c>
      <x:c r="E121" s="117" t="n">
        <x:f>MAX(0,E120)*'Opportunity Assumptions'!$D$21</x:f>
        <x:v>0.019105178399999995</x:v>
      </x:c>
      <x:c r="F121" s="117" t="n">
        <x:f>MAX(0,F120)*'Opportunity Assumptions'!$D$22</x:f>
        <x:v>0.022366295887319997</x:v>
      </x:c>
      <x:c r="G121" s="117" t="n">
        <x:f>MAX(0,G120)*'Opportunity Assumptions'!$D$23</x:f>
        <x:v>0.02536864219407672</x:v>
      </x:c>
      <x:c r="H121" s="117" t="n">
        <x:f>MAX(0,H120)*'Opportunity Assumptions'!$D$24</x:f>
        <x:v>0.028126594130205757</x:v>
      </x:c>
      <x:c r="I121" s="117" t="n">
        <x:f>MAX(0,I120)*'Opportunity Assumptions'!$D$25</x:f>
        <x:v>0.027116849400931373</x:v>
      </x:c>
      <x:c r="J121" s="117" t="n">
        <x:f>MAX(0,J120)*'Opportunity Assumptions'!$D$26</x:f>
        <x:v>0.026143354507437936</x:v>
      </x:c>
      <x:c r="K121" s="117" t="n">
        <x:f>MAX(0,K120)*'Opportunity Assumptions'!$D$27</x:f>
        <x:v>0.025204808080620915</x:v>
      </x:c>
      <x:c r="L121" s="117" t="n">
        <x:f>MAX(0,L120)*'Opportunity Assumptions'!$D$28</x:f>
        <x:v>0.024299955470526623</x:v>
      </x:c>
      <x:c r="M121" s="117" t="n">
        <x:f>MAX(0,M120)*'Opportunity Assumptions'!$D$29</x:f>
        <x:v>0.02342758706913471</x:v>
      </x:c>
    </x:row>
    <x:row r="122">
      <x:c r="A122" s="27" t="str">
        <x:v>Capex</x:v>
      </x:c>
      <x:c r="B122" s="27" t="str">
        <x:v>$m</x:v>
      </x:c>
      <x:c r="C122" s="117" t="n">
        <x:v>0</x:v>
      </x:c>
      <x:c r="D122" s="117" t="n">
        <x:f>D115*'Opportunity Assumptions'!$N$8</x:f>
        <x:v>0.08662499999999998</x:v>
      </x:c>
      <x:c r="E122" s="117" t="n">
        <x:f>E115*'Opportunity Assumptions'!$N$8</x:f>
        <x:v>0.08339561999999999</x:v>
      </x:c>
      <x:c r="F122" s="117" t="n">
        <x:f>F115*'Opportunity Assumptions'!$N$8</x:f>
        <x:v>0.08040171724199999</x:v>
      </x:c>
      <x:c r="G122" s="117" t="n">
        <x:f>G115*'Opportunity Assumptions'!$N$8</x:f>
        <x:v>0.07751529559301218</x:v>
      </x:c>
      <x:c r="H122" s="117" t="n">
        <x:f>H115*'Opportunity Assumptions'!$N$8</x:f>
        <x:v>0.07473249648122304</x:v>
      </x:c>
      <x:c r="I122" s="117" t="n">
        <x:f>I115*'Opportunity Assumptions'!$N$8</x:f>
        <x:v>0.07204959985754712</x:v>
      </x:c>
      <x:c r="J122" s="117" t="n">
        <x:f>J115*'Opportunity Assumptions'!$N$8</x:f>
        <x:v>0.06946301922266118</x:v>
      </x:c>
      <x:c r="K122" s="117" t="n">
        <x:f>K115*'Opportunity Assumptions'!$N$8</x:f>
        <x:v>0.06696929683256764</x:v>
      </x:c>
      <x:c r="L122" s="117" t="n">
        <x:f>L115*'Opportunity Assumptions'!$N$8</x:f>
        <x:v>0.06456509907627846</x:v>
      </x:c>
      <x:c r="M122" s="117" t="n">
        <x:f>M115*'Opportunity Assumptions'!$N$8</x:f>
        <x:v>0.062247212019440064</x:v>
      </x:c>
    </x:row>
    <x:row r="123">
      <x:c r="A123" s="27" t="str">
        <x:v>Change in NWC</x:v>
      </x:c>
      <x:c r="B123" s="27" t="str">
        <x:v>$m</x:v>
      </x:c>
      <x:c r="C123" s="117" t="n">
        <x:v>0</x:v>
      </x:c>
      <x:c r="D123" s="117" t="n">
        <x:f>0</x:f>
        <x:v>0</x:v>
      </x:c>
      <x:c r="E123" s="117" t="n">
        <x:f>(E115-D115)*'Opportunity Assumptions'!$O$8</x:f>
        <x:v>-0.007045919999999999</x:v>
      </x:c>
      <x:c r="F123" s="117" t="n">
        <x:f>(F115-E115)*'Opportunity Assumptions'!$O$8</x:f>
        <x:v>-0.006532151472000009</x:v>
      </x:c>
      <x:c r="G123" s="117" t="n">
        <x:f>(G115-F115)*'Opportunity Assumptions'!$O$8</x:f>
        <x:v>-0.00629764723415521</x:v>
      </x:c>
      <x:c r="H123" s="117" t="n">
        <x:f>(H115-G115)*'Opportunity Assumptions'!$O$8</x:f>
        <x:v>-0.006071561698449024</x:v>
      </x:c>
      <x:c r="I123" s="117" t="n">
        <x:f>(I115-H115)*'Opportunity Assumptions'!$O$8</x:f>
        <x:v>-0.005853592633474722</x:v>
      </x:c>
      <x:c r="J123" s="117" t="n">
        <x:f>(J115-I115)*'Opportunity Assumptions'!$O$8</x:f>
        <x:v>-0.005643448657932977</x:v>
      </x:c>
      <x:c r="K123" s="117" t="n">
        <x:f>(K115-J115)*'Opportunity Assumptions'!$O$8</x:f>
        <x:v>-0.005440848851113174</x:v>
      </x:c>
      <x:c r="L123" s="117" t="n">
        <x:f>(L115-K115)*'Opportunity Assumptions'!$O$8</x:f>
        <x:v>-0.005245522377358211</x:v>
      </x:c>
      <x:c r="M123" s="117" t="n">
        <x:f>(M115-L115)*'Opportunity Assumptions'!$O$8</x:f>
        <x:v>-0.005057208124011048</x:v>
      </x:c>
    </x:row>
    <x:row r="124">
      <x:c r="A124" s="27" t="str">
        <x:v>Free cash flow</x:v>
      </x:c>
      <x:c r="B124" s="27" t="str">
        <x:v>$m</x:v>
      </x:c>
      <x:c r="C124" s="117" t="n">
        <x:v>0</x:v>
      </x:c>
      <x:c r="D124" s="117" t="n">
        <x:f>D118-D121-D122-D123</x:f>
        <x:v>0.055282499999999984</x:v>
      </x:c>
      <x:c r="E124" s="117" t="n">
        <x:f>E118-E121-E122-E123</x:f>
        <x:v>0.07891778159999996</x:v>
      </x:c>
      <x:c r="F124" s="117" t="n">
        <x:f>F118-F121-F122-F123</x:f>
        <x:v>0.09380456091467998</x:v>
      </x:c>
      <x:c r="G124" s="117" t="n">
        <x:f>G118-G121-G122-G123</x:f>
        <x:v>0.10777221601046208</x:v>
      </x:c>
      <x:c r="H124" s="117" t="n">
        <x:f>H118-H121-H122-H123</x:f>
        <x:v>0.12061609721421451</x:v>
      </x:c>
      <x:c r="I124" s="117" t="n">
        <x:f>I118-I121-I122-I123</x:f>
        <x:v>0.11628597932422424</x:v>
      </x:c>
      <x:c r="J124" s="117" t="n">
        <x:f>J118-J121-J122-J123</x:f>
        <x:v>0.11211131266648458</x:v>
      </x:c>
      <x:c r="K124" s="117" t="n">
        <x:f>K118-K121-K122-K123</x:f>
        <x:v>0.10808651654175777</x:v>
      </x:c>
      <x:c r="L124" s="117" t="n">
        <x:f>L118-L121-L122-L123</x:f>
        <x:v>0.10420621059790866</x:v>
      </x:c>
      <x:c r="M124" s="117" t="n">
        <x:f>M118-M121-M122-M123</x:f>
        <x:v>0.10046520763744375</x:v>
      </x:c>
    </x:row>
    <x:row r="125">
      <x:c r="A125" s="27" t="str">
        <x:v>Terminal value</x:v>
      </x:c>
      <x:c r="B125" s="27" t="str">
        <x:v>$m</x:v>
      </x:c>
      <x:c r="C125" s="117" t="n">
        <x:v>0</x:v>
      </x:c>
      <x:c r="D125" s="117" t="n">
        <x:f>0</x:f>
        <x:v>0</x:v>
      </x:c>
      <x:c r="E125" s="117" t="n">
        <x:f>0</x:f>
        <x:v>0</x:v>
      </x:c>
      <x:c r="F125" s="117" t="n">
        <x:f>0</x:f>
        <x:v>0</x:v>
      </x:c>
      <x:c r="G125" s="117" t="n">
        <x:f>0</x:f>
        <x:v>0</x:v>
      </x:c>
      <x:c r="H125" s="117" t="n">
        <x:f>0</x:f>
        <x:v>0</x:v>
      </x:c>
      <x:c r="I125" s="117" t="n">
        <x:f>0</x:f>
        <x:v>0</x:v>
      </x:c>
      <x:c r="J125" s="117" t="n">
        <x:f>0</x:f>
        <x:v>0</x:v>
      </x:c>
      <x:c r="K125" s="117" t="n">
        <x:f>0</x:f>
        <x:v>0</x:v>
      </x:c>
      <x:c r="L125" s="117" t="n">
        <x:f>0</x:f>
        <x:v>0</x:v>
      </x:c>
      <x:c r="M125" s="117" t="n">
        <x:f>M118*'Opportunity Assumptions'!$P$8*'Opportunity Assumptions'!$F$14</x:f>
        <x:v>0.49797769615552057</x:v>
      </x:c>
    </x:row>
    <x:row r="126">
      <x:c r="A126" s="119" t="str">
        <x:v>Equity cash flow</x:v>
      </x:c>
      <x:c r="B126" s="119" t="str">
        <x:v>$m</x:v>
      </x:c>
      <x:c r="C126" s="120" t="n">
        <x:f>-'Opportunity Assumptions'!$D$8</x:f>
        <x:v>-1.5</x:v>
      </x:c>
      <x:c r="D126" s="120" t="n">
        <x:f>IF(1&lt;='Opportunity Assumptions'!$H$14,MIN(0,D124),D124)+D125</x:f>
        <x:v>0</x:v>
      </x:c>
      <x:c r="E126" s="120" t="n">
        <x:f>IF(2&lt;='Opportunity Assumptions'!$H$14,MIN(0,E124),E124)+E125</x:f>
        <x:v>0</x:v>
      </x:c>
      <x:c r="F126" s="120" t="n">
        <x:f>IF(3&lt;='Opportunity Assumptions'!$H$14,MIN(0,F124),F124)+F125</x:f>
        <x:v>0</x:v>
      </x:c>
      <x:c r="G126" s="120" t="n">
        <x:f>IF(4&lt;='Opportunity Assumptions'!$H$14,MIN(0,G124),G124)+G125</x:f>
        <x:v>0.10777221601046208</x:v>
      </x:c>
      <x:c r="H126" s="120" t="n">
        <x:f>IF(5&lt;='Opportunity Assumptions'!$H$14,MIN(0,H124),H124)+H125</x:f>
        <x:v>0.12061609721421451</x:v>
      </x:c>
      <x:c r="I126" s="120" t="n">
        <x:f>IF(6&lt;='Opportunity Assumptions'!$H$14,MIN(0,I124),I124)+I125</x:f>
        <x:v>0.11628597932422424</x:v>
      </x:c>
      <x:c r="J126" s="120" t="n">
        <x:f>IF(7&lt;='Opportunity Assumptions'!$H$14,MIN(0,J124),J124)+J125</x:f>
        <x:v>0.11211131266648458</x:v>
      </x:c>
      <x:c r="K126" s="120" t="n">
        <x:f>IF(8&lt;='Opportunity Assumptions'!$H$14,MIN(0,K124),K124)+K125</x:f>
        <x:v>0.10808651654175777</x:v>
      </x:c>
      <x:c r="L126" s="120" t="n">
        <x:f>IF(9&lt;='Opportunity Assumptions'!$H$14,MIN(0,L124),L124)+L125</x:f>
        <x:v>0.10420621059790866</x:v>
      </x:c>
      <x:c r="M126" s="120" t="n">
        <x:f>IF(10&lt;='Opportunity Assumptions'!$H$14,MIN(0,M124),M124)+M125</x:f>
        <x:v>0.5984429037929643</x:v>
      </x:c>
    </x:row>
    <x:row r="127">
      <x:c r="A127" s="27" t="str">
        <x:v>Gross USD IRR</x:v>
      </x:c>
      <x:c r="B127" s="27" t="str">
        <x:v>%</x:v>
      </x:c>
      <x:c r="C127" s="118" t="n">
        <x:f>IF(AND(MIN(C126:M126)&lt;0,MAX(C126:M126)&gt;0),IRR(C126:M126),"")</x:f>
        <x:v>-0.020386114718511112</x:v>
      </x:c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</x:row>
    <x:row r="128">
      <x:c r="A128" s="27" t="str">
        <x:v>Gross USD MOIC</x:v>
      </x:c>
      <x:c r="B128" s="27" t="str">
        <x:v>x</x:v>
      </x:c>
      <x:c r="C128" s="121" t="n">
        <x:f>SUMIF(C126:M126,"&gt;0",C126:M126)/-SUMIF(C126:M126,"&lt;0",C126:M126)</x:f>
        <x:v>0.8450141574320108</x:v>
      </x:c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</x:row>
    <x:row r="129">
      <x:c r="A129" s="27" t="str">
        <x:v>NPV @ 20%</x:v>
      </x:c>
      <x:c r="B129" s="27" t="str">
        <x:v>$m</x:v>
      </x:c>
      <x:c r="C129" s="117" t="n">
        <x:f>NPV('Opportunity Assumptions'!$E$20,D126:M126)+C126</x:f>
        <x:v>-1.187336261922718</x:v>
      </x:c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</x:row>
    <x:row r="131">
      <x:c r="A131" s="32" t="str">
        <x:v>Low-carbon construction materials plant — Base</x:v>
      </x:c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</x:row>
    <x:row r="132">
      <x:c r="A132" s="28" t="str">
        <x:v>Metric</x:v>
      </x:c>
      <x:c r="B132" s="28" t="str">
        <x:v>Units</x:v>
      </x:c>
      <x:c r="C132" s="28" t="n">
        <x:v>0</x:v>
      </x:c>
      <x:c r="D132" s="28" t="n">
        <x:v>1</x:v>
      </x:c>
      <x:c r="E132" s="28" t="n">
        <x:v>2</x:v>
      </x:c>
      <x:c r="F132" s="28" t="n">
        <x:v>3</x:v>
      </x:c>
      <x:c r="G132" s="28" t="n">
        <x:v>4</x:v>
      </x:c>
      <x:c r="H132" s="28" t="n">
        <x:v>5</x:v>
      </x:c>
      <x:c r="I132" s="28" t="n">
        <x:v>6</x:v>
      </x:c>
      <x:c r="J132" s="28" t="n">
        <x:v>7</x:v>
      </x:c>
      <x:c r="K132" s="28" t="n">
        <x:v>8</x:v>
      </x:c>
      <x:c r="L132" s="28" t="n">
        <x:v>9</x:v>
      </x:c>
      <x:c r="M132" s="28" t="n">
        <x:v>10</x:v>
      </x:c>
    </x:row>
    <x:row r="133">
      <x:c r="A133" s="27" t="str">
        <x:v>Revenue</x:v>
      </x:c>
      <x:c r="B133" s="27" t="str">
        <x:v>$m</x:v>
      </x:c>
      <x:c r="C133" s="117" t="n">
        <x:v>0</x:v>
      </x:c>
      <x:c r="D133" s="117" t="n">
        <x:f>'Opportunity Assumptions'!$D$8*'Opportunity Assumptions'!$F$8*'Opportunity Assumptions'!$C$15</x:f>
        <x:v>2.0999999999999996</x:v>
      </x:c>
      <x:c r="E133" s="117" t="n">
        <x:f>D133*(1+E134)</x:f>
        <x:v>2.2443119999999994</x:v>
      </x:c>
      <x:c r="F133" s="117" t="n">
        <x:f>E133*(1+F134)</x:f>
        <x:v>2.4016382711999995</x:v>
      </x:c>
      <x:c r="G133" s="117" t="n">
        <x:f>F133*(1+G134)</x:f>
        <x:v>2.5699931140111194</x:v>
      </x:c>
      <x:c r="H133" s="117" t="n">
        <x:f>G133*(1+H134)</x:f>
        <x:v>2.750149631303299</x:v>
      </x:c>
      <x:c r="I133" s="117" t="n">
        <x:f>H133*(1+I134)</x:f>
        <x:v>2.94293512045766</x:v>
      </x:c>
      <x:c r="J133" s="117" t="n">
        <x:f>I133*(1+J134)</x:f>
        <x:v>3.1492348724017423</x:v>
      </x:c>
      <x:c r="K133" s="117" t="n">
        <x:f>J133*(1+K134)</x:f>
        <x:v>3.3699962369571046</x:v>
      </x:c>
      <x:c r="L133" s="117" t="n">
        <x:f>K133*(1+L134)</x:f>
        <x:v>3.606232973167798</x:v>
      </x:c>
      <x:c r="M133" s="117" t="n">
        <x:f>L133*(1+M134)</x:f>
        <x:v>3.8590299045868606</x:v>
      </x:c>
    </x:row>
    <x:row r="134">
      <x:c r="A134" s="27" t="str">
        <x:v>USD revenue growth</x:v>
      </x:c>
      <x:c r="B134" s="27" t="str">
        <x:v>%</x:v>
      </x:c>
      <x:c r="C134" s="118" t="n">
        <x:v>0</x:v>
      </x:c>
      <x:c r="D134" s="118"/>
      <x:c r="E134" s="118" t="n">
        <x:f>MAX(-20%,'Opportunity Assumptions'!$G$8+'Opportunity Assumptions'!$D$15+'Opportunity Assumptions'!$H$8*'Opportunity Assumptions'!$I$8+(1-'Opportunity Assumptions'!$H$8)*('Opportunity Assumptions'!$B$21*'Opportunity Assumptions'!$J$8-MAX(0,'Opportunity Assumptions'!$C$21+'Opportunity Assumptions'!$G$15)))</x:f>
        <x:v>0.06872</x:v>
      </x:c>
      <x:c r="F134" s="118" t="n">
        <x:f>MAX(-20%,'Opportunity Assumptions'!$G$8+'Opportunity Assumptions'!$D$15+'Opportunity Assumptions'!$H$8*'Opportunity Assumptions'!$I$8+(1-'Opportunity Assumptions'!$H$8)*('Opportunity Assumptions'!$B$22*'Opportunity Assumptions'!$J$8-MAX(0,'Opportunity Assumptions'!$C$22+'Opportunity Assumptions'!$G$15)))</x:f>
        <x:v>0.0701</x:v>
      </x:c>
      <x:c r="G134" s="118" t="n">
        <x:f>MAX(-20%,'Opportunity Assumptions'!$G$8+'Opportunity Assumptions'!$D$15+'Opportunity Assumptions'!$H$8*'Opportunity Assumptions'!$I$8+(1-'Opportunity Assumptions'!$H$8)*('Opportunity Assumptions'!$B$23*'Opportunity Assumptions'!$J$8-MAX(0,'Opportunity Assumptions'!$C$23+'Opportunity Assumptions'!$G$15)))</x:f>
        <x:v>0.0701</x:v>
      </x:c>
      <x:c r="H134" s="118" t="n">
        <x:f>MAX(-20%,'Opportunity Assumptions'!$G$8+'Opportunity Assumptions'!$D$15+'Opportunity Assumptions'!$H$8*'Opportunity Assumptions'!$I$8+(1-'Opportunity Assumptions'!$H$8)*('Opportunity Assumptions'!$B$24*'Opportunity Assumptions'!$J$8-MAX(0,'Opportunity Assumptions'!$C$24+'Opportunity Assumptions'!$G$15)))</x:f>
        <x:v>0.0701</x:v>
      </x:c>
      <x:c r="I134" s="118" t="n">
        <x:f>MAX(-20%,'Opportunity Assumptions'!$G$8+'Opportunity Assumptions'!$D$15+'Opportunity Assumptions'!$H$8*'Opportunity Assumptions'!$I$8+(1-'Opportunity Assumptions'!$H$8)*('Opportunity Assumptions'!$B$25*'Opportunity Assumptions'!$J$8-MAX(0,'Opportunity Assumptions'!$C$25+'Opportunity Assumptions'!$G$15)))</x:f>
        <x:v>0.0701</x:v>
      </x:c>
      <x:c r="J134" s="118" t="n">
        <x:f>MAX(-20%,'Opportunity Assumptions'!$G$8+'Opportunity Assumptions'!$D$15+'Opportunity Assumptions'!$H$8*'Opportunity Assumptions'!$I$8+(1-'Opportunity Assumptions'!$H$8)*('Opportunity Assumptions'!$B$26*'Opportunity Assumptions'!$J$8-MAX(0,'Opportunity Assumptions'!$C$26+'Opportunity Assumptions'!$G$15)))</x:f>
        <x:v>0.0701</x:v>
      </x:c>
      <x:c r="K134" s="118" t="n">
        <x:f>MAX(-20%,'Opportunity Assumptions'!$G$8+'Opportunity Assumptions'!$D$15+'Opportunity Assumptions'!$H$8*'Opportunity Assumptions'!$I$8+(1-'Opportunity Assumptions'!$H$8)*('Opportunity Assumptions'!$B$27*'Opportunity Assumptions'!$J$8-MAX(0,'Opportunity Assumptions'!$C$27+'Opportunity Assumptions'!$G$15)))</x:f>
        <x:v>0.0701</x:v>
      </x:c>
      <x:c r="L134" s="118" t="n">
        <x:f>MAX(-20%,'Opportunity Assumptions'!$G$8+'Opportunity Assumptions'!$D$15+'Opportunity Assumptions'!$H$8*'Opportunity Assumptions'!$I$8+(1-'Opportunity Assumptions'!$H$8)*('Opportunity Assumptions'!$B$28*'Opportunity Assumptions'!$J$8-MAX(0,'Opportunity Assumptions'!$C$28+'Opportunity Assumptions'!$G$15)))</x:f>
        <x:v>0.0701</x:v>
      </x:c>
      <x:c r="M134" s="118" t="n">
        <x:f>MAX(-20%,'Opportunity Assumptions'!$G$8+'Opportunity Assumptions'!$D$15+'Opportunity Assumptions'!$H$8*'Opportunity Assumptions'!$I$8+(1-'Opportunity Assumptions'!$H$8)*('Opportunity Assumptions'!$B$29*'Opportunity Assumptions'!$J$8-MAX(0,'Opportunity Assumptions'!$C$29+'Opportunity Assumptions'!$G$15)))</x:f>
        <x:v>0.0701</x:v>
      </x:c>
    </x:row>
    <x:row r="135">
      <x:c r="A135" s="27" t="str">
        <x:v>EBITDA margin</x:v>
      </x:c>
      <x:c r="B135" s="27" t="str">
        <x:v>%</x:v>
      </x:c>
      <x:c r="C135" s="118" t="n">
        <x:v>0</x:v>
      </x:c>
      <x:c r="D135" s="118" t="n">
        <x:f>MAX(3%,MIN(55%,'Opportunity Assumptions'!$K$8+('Opportunity Assumptions'!$L$8-'Opportunity Assumptions'!$K$8)*MIN(1,(1-1)/4)+'Opportunity Assumptions'!$E$15))</x:f>
        <x:v>0.16</x:v>
      </x:c>
      <x:c r="E135" s="118" t="n">
        <x:f>MAX(3%,MIN(55%,'Opportunity Assumptions'!$K$8+('Opportunity Assumptions'!$L$8-'Opportunity Assumptions'!$K$8)*MIN(1,(2-1)/4)+'Opportunity Assumptions'!$E$15))</x:f>
        <x:v>0.175</x:v>
      </x:c>
      <x:c r="F135" s="118" t="n">
        <x:f>MAX(3%,MIN(55%,'Opportunity Assumptions'!$K$8+('Opportunity Assumptions'!$L$8-'Opportunity Assumptions'!$K$8)*MIN(1,(3-1)/4)+'Opportunity Assumptions'!$E$15))</x:f>
        <x:v>0.19</x:v>
      </x:c>
      <x:c r="G135" s="118" t="n">
        <x:f>MAX(3%,MIN(55%,'Opportunity Assumptions'!$K$8+('Opportunity Assumptions'!$L$8-'Opportunity Assumptions'!$K$8)*MIN(1,(4-1)/4)+'Opportunity Assumptions'!$E$15))</x:f>
        <x:v>0.20500000000000002</x:v>
      </x:c>
      <x:c r="H135" s="118" t="n">
        <x:f>MAX(3%,MIN(55%,'Opportunity Assumptions'!$K$8+('Opportunity Assumptions'!$L$8-'Opportunity Assumptions'!$K$8)*MIN(1,(5-1)/4)+'Opportunity Assumptions'!$E$15))</x:f>
        <x:v>0.22</x:v>
      </x:c>
      <x:c r="I135" s="118" t="n">
        <x:f>MAX(3%,MIN(55%,'Opportunity Assumptions'!$K$8+('Opportunity Assumptions'!$L$8-'Opportunity Assumptions'!$K$8)*MIN(1,(6-1)/4)+'Opportunity Assumptions'!$E$15))</x:f>
        <x:v>0.22</x:v>
      </x:c>
      <x:c r="J135" s="118" t="n">
        <x:f>MAX(3%,MIN(55%,'Opportunity Assumptions'!$K$8+('Opportunity Assumptions'!$L$8-'Opportunity Assumptions'!$K$8)*MIN(1,(7-1)/4)+'Opportunity Assumptions'!$E$15))</x:f>
        <x:v>0.22</x:v>
      </x:c>
      <x:c r="K135" s="118" t="n">
        <x:f>MAX(3%,MIN(55%,'Opportunity Assumptions'!$K$8+('Opportunity Assumptions'!$L$8-'Opportunity Assumptions'!$K$8)*MIN(1,(8-1)/4)+'Opportunity Assumptions'!$E$15))</x:f>
        <x:v>0.22</x:v>
      </x:c>
      <x:c r="L135" s="118" t="n">
        <x:f>MAX(3%,MIN(55%,'Opportunity Assumptions'!$K$8+('Opportunity Assumptions'!$L$8-'Opportunity Assumptions'!$K$8)*MIN(1,(9-1)/4)+'Opportunity Assumptions'!$E$15))</x:f>
        <x:v>0.22</x:v>
      </x:c>
      <x:c r="M135" s="118" t="n">
        <x:f>MAX(3%,MIN(55%,'Opportunity Assumptions'!$K$8+('Opportunity Assumptions'!$L$8-'Opportunity Assumptions'!$K$8)*MIN(1,(10-1)/4)+'Opportunity Assumptions'!$E$15))</x:f>
        <x:v>0.22</x:v>
      </x:c>
    </x:row>
    <x:row r="136">
      <x:c r="A136" s="27" t="str">
        <x:v>EBITDA</x:v>
      </x:c>
      <x:c r="B136" s="27" t="str">
        <x:v>$m</x:v>
      </x:c>
      <x:c r="C136" s="117" t="n">
        <x:v>0</x:v>
      </x:c>
      <x:c r="D136" s="117" t="n">
        <x:f>D133*D135</x:f>
        <x:v>0.33599999999999997</x:v>
      </x:c>
      <x:c r="E136" s="117" t="n">
        <x:f>E133*E135</x:f>
        <x:v>0.3927545999999999</x:v>
      </x:c>
      <x:c r="F136" s="117" t="n">
        <x:f>F133*F135</x:f>
        <x:v>0.4563112715279999</x:v>
      </x:c>
      <x:c r="G136" s="117" t="n">
        <x:f>G133*G135</x:f>
        <x:v>0.5268485883722795</x:v>
      </x:c>
      <x:c r="H136" s="117" t="n">
        <x:f>H133*H135</x:f>
        <x:v>0.6050329188867257</x:v>
      </x:c>
      <x:c r="I136" s="117" t="n">
        <x:f>I133*I135</x:f>
        <x:v>0.6474457265006852</x:v>
      </x:c>
      <x:c r="J136" s="117" t="n">
        <x:f>J133*J135</x:f>
        <x:v>0.6928316719283834</x:v>
      </x:c>
      <x:c r="K136" s="117" t="n">
        <x:f>K133*K135</x:f>
        <x:v>0.7413991721305631</x:v>
      </x:c>
      <x:c r="L136" s="117" t="n">
        <x:f>L133*L135</x:f>
        <x:v>0.7933712540969156</x:v>
      </x:c>
      <x:c r="M136" s="117" t="n">
        <x:f>M133*M135</x:f>
        <x:v>0.8489865790091093</x:v>
      </x:c>
    </x:row>
    <x:row r="137">
      <x:c r="A137" s="27" t="str">
        <x:v>D&amp;A</x:v>
      </x:c>
      <x:c r="B137" s="27" t="str">
        <x:v>$m</x:v>
      </x:c>
      <x:c r="C137" s="117" t="n">
        <x:v>0</x:v>
      </x:c>
      <x:c r="D137" s="117" t="n">
        <x:f>D133*'Opportunity Assumptions'!$M$8</x:f>
        <x:v>0.09449999999999999</x:v>
      </x:c>
      <x:c r="E137" s="117" t="n">
        <x:f>E133*'Opportunity Assumptions'!$M$8</x:f>
        <x:v>0.10099403999999997</x:v>
      </x:c>
      <x:c r="F137" s="117" t="n">
        <x:f>F133*'Opportunity Assumptions'!$M$8</x:f>
        <x:v>0.10807372220399998</x:v>
      </x:c>
      <x:c r="G137" s="117" t="n">
        <x:f>G133*'Opportunity Assumptions'!$M$8</x:f>
        <x:v>0.11564969013050037</x:v>
      </x:c>
      <x:c r="H137" s="117" t="n">
        <x:f>H133*'Opportunity Assumptions'!$M$8</x:f>
        <x:v>0.12375673340864844</x:v>
      </x:c>
      <x:c r="I137" s="117" t="n">
        <x:f>I133*'Opportunity Assumptions'!$M$8</x:f>
        <x:v>0.1324320804205947</x:v>
      </x:c>
      <x:c r="J137" s="117" t="n">
        <x:f>J133*'Opportunity Assumptions'!$M$8</x:f>
        <x:v>0.1417155692580784</x:v>
      </x:c>
      <x:c r="K137" s="117" t="n">
        <x:f>K133*'Opportunity Assumptions'!$M$8</x:f>
        <x:v>0.1516498306630697</x:v>
      </x:c>
      <x:c r="L137" s="117" t="n">
        <x:f>L133*'Opportunity Assumptions'!$M$8</x:f>
        <x:v>0.1622804837925509</x:v>
      </x:c>
      <x:c r="M137" s="117" t="n">
        <x:f>M133*'Opportunity Assumptions'!$M$8</x:f>
        <x:v>0.17365634570640873</x:v>
      </x:c>
    </x:row>
    <x:row r="138">
      <x:c r="A138" s="27" t="str">
        <x:v>EBIT</x:v>
      </x:c>
      <x:c r="B138" s="27" t="str">
        <x:v>$m</x:v>
      </x:c>
      <x:c r="C138" s="117" t="n">
        <x:v>0</x:v>
      </x:c>
      <x:c r="D138" s="117" t="n">
        <x:f>D136-D137</x:f>
        <x:v>0.2415</x:v>
      </x:c>
      <x:c r="E138" s="117" t="n">
        <x:f>E136-E137</x:f>
        <x:v>0.29176055999999995</x:v>
      </x:c>
      <x:c r="F138" s="117" t="n">
        <x:f>F136-F137</x:f>
        <x:v>0.3482375493239999</x:v>
      </x:c>
      <x:c r="G138" s="117" t="n">
        <x:f>G136-G137</x:f>
        <x:v>0.4111988982417792</x:v>
      </x:c>
      <x:c r="H138" s="117" t="n">
        <x:f>H136-H137</x:f>
        <x:v>0.48127618547807727</x:v>
      </x:c>
      <x:c r="I138" s="117" t="n">
        <x:f>I136-I137</x:f>
        <x:v>0.5150136460800905</x:v>
      </x:c>
      <x:c r="J138" s="117" t="n">
        <x:f>J136-J137</x:f>
        <x:v>0.551116102670305</x:v>
      </x:c>
      <x:c r="K138" s="117" t="n">
        <x:f>K136-K137</x:f>
        <x:v>0.5897493414674934</x:v>
      </x:c>
      <x:c r="L138" s="117" t="n">
        <x:f>L136-L137</x:f>
        <x:v>0.6310907703043647</x:v>
      </x:c>
      <x:c r="M138" s="117" t="n">
        <x:f>M136-M137</x:f>
        <x:v>0.6753302333027006</x:v>
      </x:c>
    </x:row>
    <x:row r="139">
      <x:c r="A139" s="27" t="str">
        <x:v>Corporate tax</x:v>
      </x:c>
      <x:c r="B139" s="27" t="str">
        <x:v>$m</x:v>
      </x:c>
      <x:c r="C139" s="117" t="n">
        <x:v>0</x:v>
      </x:c>
      <x:c r="D139" s="117" t="n">
        <x:f>MAX(0,D138)*'Opportunity Assumptions'!$D$20</x:f>
        <x:v>0.043469999999999995</x:v>
      </x:c>
      <x:c r="E139" s="117" t="n">
        <x:f>MAX(0,E138)*'Opportunity Assumptions'!$D$21</x:f>
        <x:v>0.05251690079999999</x:v>
      </x:c>
      <x:c r="F139" s="117" t="n">
        <x:f>MAX(0,F138)*'Opportunity Assumptions'!$D$22</x:f>
        <x:v>0.06268275887831998</x:v>
      </x:c>
      <x:c r="G139" s="117" t="n">
        <x:f>MAX(0,G138)*'Opportunity Assumptions'!$D$23</x:f>
        <x:v>0.07401580168352025</x:v>
      </x:c>
      <x:c r="H139" s="117" t="n">
        <x:f>MAX(0,H138)*'Opportunity Assumptions'!$D$24</x:f>
        <x:v>0.08662971338605391</x:v>
      </x:c>
      <x:c r="I139" s="117" t="n">
        <x:f>MAX(0,I138)*'Opportunity Assumptions'!$D$25</x:f>
        <x:v>0.09270245629441629</x:v>
      </x:c>
      <x:c r="J139" s="117" t="n">
        <x:f>MAX(0,J138)*'Opportunity Assumptions'!$D$26</x:f>
        <x:v>0.09920089848065489</x:v>
      </x:c>
      <x:c r="K139" s="117" t="n">
        <x:f>MAX(0,K138)*'Opportunity Assumptions'!$D$27</x:f>
        <x:v>0.1061548814641488</x:v>
      </x:c>
      <x:c r="L139" s="117" t="n">
        <x:f>MAX(0,L138)*'Opportunity Assumptions'!$D$28</x:f>
        <x:v>0.11359633865478563</x:v>
      </x:c>
      <x:c r="M139" s="117" t="n">
        <x:f>MAX(0,M138)*'Opportunity Assumptions'!$D$29</x:f>
        <x:v>0.1215594419944861</x:v>
      </x:c>
    </x:row>
    <x:row r="140">
      <x:c r="A140" s="27" t="str">
        <x:v>Capex</x:v>
      </x:c>
      <x:c r="B140" s="27" t="str">
        <x:v>$m</x:v>
      </x:c>
      <x:c r="C140" s="117" t="n">
        <x:v>0</x:v>
      </x:c>
      <x:c r="D140" s="117" t="n">
        <x:f>D133*'Opportunity Assumptions'!$N$8</x:f>
        <x:v>0.11549999999999998</x:v>
      </x:c>
      <x:c r="E140" s="117" t="n">
        <x:f>E133*'Opportunity Assumptions'!$N$8</x:f>
        <x:v>0.12343715999999996</x:v>
      </x:c>
      <x:c r="F140" s="117" t="n">
        <x:f>F133*'Opportunity Assumptions'!$N$8</x:f>
        <x:v>0.13209010491599998</x:v>
      </x:c>
      <x:c r="G140" s="117" t="n">
        <x:f>G133*'Opportunity Assumptions'!$N$8</x:f>
        <x:v>0.14134962127061157</x:v>
      </x:c>
      <x:c r="H140" s="117" t="n">
        <x:f>H133*'Opportunity Assumptions'!$N$8</x:f>
        <x:v>0.15125822972168143</x:v>
      </x:c>
      <x:c r="I140" s="117" t="n">
        <x:f>I133*'Opportunity Assumptions'!$N$8</x:f>
        <x:v>0.1618614316251713</x:v>
      </x:c>
      <x:c r="J140" s="117" t="n">
        <x:f>J133*'Opportunity Assumptions'!$N$8</x:f>
        <x:v>0.17320791798209584</x:v>
      </x:c>
      <x:c r="K140" s="117" t="n">
        <x:f>K133*'Opportunity Assumptions'!$N$8</x:f>
        <x:v>0.18534979303264076</x:v>
      </x:c>
      <x:c r="L140" s="117" t="n">
        <x:f>L133*'Opportunity Assumptions'!$N$8</x:f>
        <x:v>0.1983428135242289</x:v>
      </x:c>
      <x:c r="M140" s="117" t="n">
        <x:f>M133*'Opportunity Assumptions'!$N$8</x:f>
        <x:v>0.21224664475227734</x:v>
      </x:c>
    </x:row>
    <x:row r="141">
      <x:c r="A141" s="27" t="str">
        <x:v>Change in NWC</x:v>
      </x:c>
      <x:c r="B141" s="27" t="str">
        <x:v>$m</x:v>
      </x:c>
      <x:c r="C141" s="117" t="n">
        <x:v>0</x:v>
      </x:c>
      <x:c r="D141" s="117" t="n">
        <x:f>0</x:f>
        <x:v>0</x:v>
      </x:c>
      <x:c r="E141" s="117" t="n">
        <x:f>(E133-D133)*'Opportunity Assumptions'!$O$8</x:f>
        <x:v>0.017317439999999972</x:v>
      </x:c>
      <x:c r="F141" s="117" t="n">
        <x:f>(F133-E133)*'Opportunity Assumptions'!$O$8</x:f>
        <x:v>0.01887915254400001</x:v>
      </x:c>
      <x:c r="G141" s="117" t="n">
        <x:f>(G133-F133)*'Opportunity Assumptions'!$O$8</x:f>
        <x:v>0.020202581137334388</x:v>
      </x:c>
      <x:c r="H141" s="117" t="n">
        <x:f>(H133-G133)*'Opportunity Assumptions'!$O$8</x:f>
        <x:v>0.02161878207506154</x:v>
      </x:c>
      <x:c r="I141" s="117" t="n">
        <x:f>(I133-H133)*'Opportunity Assumptions'!$O$8</x:f>
        <x:v>0.023134258698523345</x:v>
      </x:c>
      <x:c r="J141" s="117" t="n">
        <x:f>(J133-I133)*'Opportunity Assumptions'!$O$8</x:f>
        <x:v>0.024755970233289855</x:v>
      </x:c>
      <x:c r="K141" s="117" t="n">
        <x:f>(K133-J133)*'Opportunity Assumptions'!$O$8</x:f>
        <x:v>0.026491363746643477</x:v>
      </x:c>
      <x:c r="L141" s="117" t="n">
        <x:f>(L133-K133)*'Opportunity Assumptions'!$O$8</x:f>
        <x:v>0.028348408345283183</x:v>
      </x:c>
      <x:c r="M141" s="117" t="n">
        <x:f>(M133-L133)*'Opportunity Assumptions'!$O$8</x:f>
        <x:v>0.030335631770287533</x:v>
      </x:c>
    </x:row>
    <x:row r="142">
      <x:c r="A142" s="27" t="str">
        <x:v>Free cash flow</x:v>
      </x:c>
      <x:c r="B142" s="27" t="str">
        <x:v>$m</x:v>
      </x:c>
      <x:c r="C142" s="117" t="n">
        <x:v>0</x:v>
      </x:c>
      <x:c r="D142" s="117" t="n">
        <x:f>D136-D139-D140-D141</x:f>
        <x:v>0.17702999999999997</x:v>
      </x:c>
      <x:c r="E142" s="117" t="n">
        <x:f>E136-E139-E140-E141</x:f>
        <x:v>0.19948309919999999</x:v>
      </x:c>
      <x:c r="F142" s="117" t="n">
        <x:f>F136-F139-F140-F141</x:f>
        <x:v>0.2426592551896799</x:v>
      </x:c>
      <x:c r="G142" s="117" t="n">
        <x:f>G136-G139-G140-G141</x:f>
        <x:v>0.2912805842808134</x:v>
      </x:c>
      <x:c r="H142" s="117" t="n">
        <x:f>H136-H139-H140-H141</x:f>
        <x:v>0.3455261937039288</x:v>
      </x:c>
      <x:c r="I142" s="117" t="n">
        <x:f>I136-I139-I140-I141</x:f>
        <x:v>0.36974757988257423</x:v>
      </x:c>
      <x:c r="J142" s="117" t="n">
        <x:f>J136-J139-J140-J141</x:f>
        <x:v>0.3956668852323427</x:v>
      </x:c>
      <x:c r="K142" s="117" t="n">
        <x:f>K136-K139-K140-K141</x:f>
        <x:v>0.4234031338871301</x:v>
      </x:c>
      <x:c r="L142" s="117" t="n">
        <x:f>L136-L139-L140-L141</x:f>
        <x:v>0.4530836935726179</x:v>
      </x:c>
      <x:c r="M142" s="117" t="n">
        <x:f>M136-M139-M140-M141</x:f>
        <x:v>0.48484486049205844</x:v>
      </x:c>
    </x:row>
    <x:row r="143">
      <x:c r="A143" s="27" t="str">
        <x:v>Terminal value</x:v>
      </x:c>
      <x:c r="B143" s="27" t="str">
        <x:v>$m</x:v>
      </x:c>
      <x:c r="C143" s="117" t="n">
        <x:v>0</x:v>
      </x:c>
      <x:c r="D143" s="117" t="n">
        <x:f>0</x:f>
        <x:v>0</x:v>
      </x:c>
      <x:c r="E143" s="117" t="n">
        <x:f>0</x:f>
        <x:v>0</x:v>
      </x:c>
      <x:c r="F143" s="117" t="n">
        <x:f>0</x:f>
        <x:v>0</x:v>
      </x:c>
      <x:c r="G143" s="117" t="n">
        <x:f>0</x:f>
        <x:v>0</x:v>
      </x:c>
      <x:c r="H143" s="117" t="n">
        <x:f>0</x:f>
        <x:v>0</x:v>
      </x:c>
      <x:c r="I143" s="117" t="n">
        <x:f>0</x:f>
        <x:v>0</x:v>
      </x:c>
      <x:c r="J143" s="117" t="n">
        <x:f>0</x:f>
        <x:v>0</x:v>
      </x:c>
      <x:c r="K143" s="117" t="n">
        <x:f>0</x:f>
        <x:v>0</x:v>
      </x:c>
      <x:c r="L143" s="117" t="n">
        <x:f>0</x:f>
        <x:v>0</x:v>
      </x:c>
      <x:c r="M143" s="117" t="n">
        <x:f>M136*'Opportunity Assumptions'!$P$8*'Opportunity Assumptions'!$F$15</x:f>
        <x:v>4.2449328950455465</x:v>
      </x:c>
    </x:row>
    <x:row r="144">
      <x:c r="A144" s="119" t="str">
        <x:v>Equity cash flow</x:v>
      </x:c>
      <x:c r="B144" s="119" t="str">
        <x:v>$m</x:v>
      </x:c>
      <x:c r="C144" s="120" t="n">
        <x:f>-'Opportunity Assumptions'!$D$8</x:f>
        <x:v>-1.5</x:v>
      </x:c>
      <x:c r="D144" s="120" t="n">
        <x:f>IF(1&lt;='Opportunity Assumptions'!$H$15,MIN(0,D142),D142)+D143</x:f>
        <x:v>0</x:v>
      </x:c>
      <x:c r="E144" s="120" t="n">
        <x:f>IF(2&lt;='Opportunity Assumptions'!$H$15,MIN(0,E142),E142)+E143</x:f>
        <x:v>0</x:v>
      </x:c>
      <x:c r="F144" s="120" t="n">
        <x:f>IF(3&lt;='Opportunity Assumptions'!$H$15,MIN(0,F142),F142)+F143</x:f>
        <x:v>0.2426592551896799</x:v>
      </x:c>
      <x:c r="G144" s="120" t="n">
        <x:f>IF(4&lt;='Opportunity Assumptions'!$H$15,MIN(0,G142),G142)+G143</x:f>
        <x:v>0.2912805842808134</x:v>
      </x:c>
      <x:c r="H144" s="120" t="n">
        <x:f>IF(5&lt;='Opportunity Assumptions'!$H$15,MIN(0,H142),H142)+H143</x:f>
        <x:v>0.3455261937039288</x:v>
      </x:c>
      <x:c r="I144" s="120" t="n">
        <x:f>IF(6&lt;='Opportunity Assumptions'!$H$15,MIN(0,I142),I142)+I143</x:f>
        <x:v>0.36974757988257423</x:v>
      </x:c>
      <x:c r="J144" s="120" t="n">
        <x:f>IF(7&lt;='Opportunity Assumptions'!$H$15,MIN(0,J142),J142)+J143</x:f>
        <x:v>0.3956668852323427</x:v>
      </x:c>
      <x:c r="K144" s="120" t="n">
        <x:f>IF(8&lt;='Opportunity Assumptions'!$H$15,MIN(0,K142),K142)+K143</x:f>
        <x:v>0.4234031338871301</x:v>
      </x:c>
      <x:c r="L144" s="120" t="n">
        <x:f>IF(9&lt;='Opportunity Assumptions'!$H$15,MIN(0,L142),L142)+L143</x:f>
        <x:v>0.4530836935726179</x:v>
      </x:c>
      <x:c r="M144" s="120" t="n">
        <x:f>IF(10&lt;='Opportunity Assumptions'!$H$15,MIN(0,M142),M142)+M143</x:f>
        <x:v>4.729777755537605</x:v>
      </x:c>
    </x:row>
    <x:row r="145">
      <x:c r="A145" s="27" t="str">
        <x:v>Gross USD IRR</x:v>
      </x:c>
      <x:c r="B145" s="27" t="str">
        <x:v>%</x:v>
      </x:c>
      <x:c r="C145" s="118" t="n">
        <x:f>IF(AND(MIN(C144:M144)&lt;0,MAX(C144:M144)&gt;0),IRR(C144:M144),"")</x:f>
        <x:v>0.21049998055334834</x:v>
      </x:c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</x:row>
    <x:row r="146">
      <x:c r="A146" s="27" t="str">
        <x:v>Gross USD MOIC</x:v>
      </x:c>
      <x:c r="B146" s="27" t="str">
        <x:v>x</x:v>
      </x:c>
      <x:c r="C146" s="121" t="n">
        <x:f>SUMIF(C144:M144,"&gt;0",C144:M144)/-SUMIF(C144:M144,"&lt;0",C144:M144)</x:f>
        <x:v>4.8340967208577945</x:v>
      </x:c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</x:row>
    <x:row r="147">
      <x:c r="A147" s="27" t="str">
        <x:v>NPV @ 20%</x:v>
      </x:c>
      <x:c r="B147" s="27" t="str">
        <x:v>$m</x:v>
      </x:c>
      <x:c r="C147" s="117" t="n">
        <x:f>NPV('Opportunity Assumptions'!$E$20,D144:M144)+C144</x:f>
        <x:v>0.10417528605435566</x:v>
      </x:c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</x:row>
    <x:row r="149">
      <x:c r="A149" s="32" t="str">
        <x:v>Low-carbon construction materials plant — Upside</x:v>
      </x:c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</x:row>
    <x:row r="150">
      <x:c r="A150" s="28" t="str">
        <x:v>Metric</x:v>
      </x:c>
      <x:c r="B150" s="28" t="str">
        <x:v>Units</x:v>
      </x:c>
      <x:c r="C150" s="28" t="n">
        <x:v>0</x:v>
      </x:c>
      <x:c r="D150" s="28" t="n">
        <x:v>1</x:v>
      </x:c>
      <x:c r="E150" s="28" t="n">
        <x:v>2</x:v>
      </x:c>
      <x:c r="F150" s="28" t="n">
        <x:v>3</x:v>
      </x:c>
      <x:c r="G150" s="28" t="n">
        <x:v>4</x:v>
      </x:c>
      <x:c r="H150" s="28" t="n">
        <x:v>5</x:v>
      </x:c>
      <x:c r="I150" s="28" t="n">
        <x:v>6</x:v>
      </x:c>
      <x:c r="J150" s="28" t="n">
        <x:v>7</x:v>
      </x:c>
      <x:c r="K150" s="28" t="n">
        <x:v>8</x:v>
      </x:c>
      <x:c r="L150" s="28" t="n">
        <x:v>9</x:v>
      </x:c>
      <x:c r="M150" s="28" t="n">
        <x:v>10</x:v>
      </x:c>
    </x:row>
    <x:row r="151">
      <x:c r="A151" s="27" t="str">
        <x:v>Revenue</x:v>
      </x:c>
      <x:c r="B151" s="27" t="str">
        <x:v>$m</x:v>
      </x:c>
      <x:c r="C151" s="117" t="n">
        <x:v>0</x:v>
      </x:c>
      <x:c r="D151" s="117" t="n">
        <x:f>'Opportunity Assumptions'!$D$8*'Opportunity Assumptions'!$F$8*'Opportunity Assumptions'!$C$16</x:f>
        <x:v>2.352</x:v>
      </x:c>
      <x:c r="E151" s="117" t="n">
        <x:f>D151*(1+E152)</x:f>
        <x:v>2.67356544</x:v>
      </x:c>
      <x:c r="F151" s="117" t="n">
        <x:f>E151*(1+F152)</x:f>
        <x:v>3.042784827264</x:v>
      </x:c>
      <x:c r="G151" s="117" t="n">
        <x:f>F151*(1+G152)</x:f>
        <x:v>3.4629934119091588</x:v>
      </x:c>
      <x:c r="H151" s="117" t="n">
        <x:f>G151*(1+H152)</x:f>
        <x:v>3.941232802093814</x:v>
      </x:c>
      <x:c r="I151" s="117" t="n">
        <x:f>H151*(1+I152)</x:f>
        <x:v>4.48551705206297</x:v>
      </x:c>
      <x:c r="J151" s="117" t="n">
        <x:f>I151*(1+J152)</x:f>
        <x:v>5.104966956952866</x:v>
      </x:c>
      <x:c r="K151" s="117" t="n">
        <x:f>J151*(1+K152)</x:f>
        <x:v>5.809962893708057</x:v>
      </x:c>
      <x:c r="L151" s="117" t="n">
        <x:f>K151*(1+L152)</x:f>
        <x:v>6.612318769329141</x:v>
      </x:c>
      <x:c r="M151" s="117" t="n">
        <x:f>L151*(1+M152)</x:f>
        <x:v>7.525479991373496</x:v>
      </x:c>
    </x:row>
    <x:row r="152">
      <x:c r="A152" s="27" t="str">
        <x:v>USD revenue growth</x:v>
      </x:c>
      <x:c r="B152" s="27" t="str">
        <x:v>%</x:v>
      </x:c>
      <x:c r="C152" s="118" t="n">
        <x:v>0</x:v>
      </x:c>
      <x:c r="D152" s="118"/>
      <x:c r="E152" s="118" t="n">
        <x:f>MAX(-20%,'Opportunity Assumptions'!$G$8+'Opportunity Assumptions'!$D$16+'Opportunity Assumptions'!$H$8*'Opportunity Assumptions'!$I$8+(1-'Opportunity Assumptions'!$H$8)*('Opportunity Assumptions'!$B$21*'Opportunity Assumptions'!$J$8-MAX(0,'Opportunity Assumptions'!$C$21+'Opportunity Assumptions'!$G$16)))</x:f>
        <x:v>0.13672</x:v>
      </x:c>
      <x:c r="F152" s="118" t="n">
        <x:f>MAX(-20%,'Opportunity Assumptions'!$G$8+'Opportunity Assumptions'!$D$16+'Opportunity Assumptions'!$H$8*'Opportunity Assumptions'!$I$8+(1-'Opportunity Assumptions'!$H$8)*('Opportunity Assumptions'!$B$22*'Opportunity Assumptions'!$J$8-MAX(0,'Opportunity Assumptions'!$C$22+'Opportunity Assumptions'!$G$16)))</x:f>
        <x:v>0.1381</x:v>
      </x:c>
      <x:c r="G152" s="118" t="n">
        <x:f>MAX(-20%,'Opportunity Assumptions'!$G$8+'Opportunity Assumptions'!$D$16+'Opportunity Assumptions'!$H$8*'Opportunity Assumptions'!$I$8+(1-'Opportunity Assumptions'!$H$8)*('Opportunity Assumptions'!$B$23*'Opportunity Assumptions'!$J$8-MAX(0,'Opportunity Assumptions'!$C$23+'Opportunity Assumptions'!$G$16)))</x:f>
        <x:v>0.1381</x:v>
      </x:c>
      <x:c r="H152" s="118" t="n">
        <x:f>MAX(-20%,'Opportunity Assumptions'!$G$8+'Opportunity Assumptions'!$D$16+'Opportunity Assumptions'!$H$8*'Opportunity Assumptions'!$I$8+(1-'Opportunity Assumptions'!$H$8)*('Opportunity Assumptions'!$B$24*'Opportunity Assumptions'!$J$8-MAX(0,'Opportunity Assumptions'!$C$24+'Opportunity Assumptions'!$G$16)))</x:f>
        <x:v>0.1381</x:v>
      </x:c>
      <x:c r="I152" s="118" t="n">
        <x:f>MAX(-20%,'Opportunity Assumptions'!$G$8+'Opportunity Assumptions'!$D$16+'Opportunity Assumptions'!$H$8*'Opportunity Assumptions'!$I$8+(1-'Opportunity Assumptions'!$H$8)*('Opportunity Assumptions'!$B$25*'Opportunity Assumptions'!$J$8-MAX(0,'Opportunity Assumptions'!$C$25+'Opportunity Assumptions'!$G$16)))</x:f>
        <x:v>0.1381</x:v>
      </x:c>
      <x:c r="J152" s="118" t="n">
        <x:f>MAX(-20%,'Opportunity Assumptions'!$G$8+'Opportunity Assumptions'!$D$16+'Opportunity Assumptions'!$H$8*'Opportunity Assumptions'!$I$8+(1-'Opportunity Assumptions'!$H$8)*('Opportunity Assumptions'!$B$26*'Opportunity Assumptions'!$J$8-MAX(0,'Opportunity Assumptions'!$C$26+'Opportunity Assumptions'!$G$16)))</x:f>
        <x:v>0.1381</x:v>
      </x:c>
      <x:c r="K152" s="118" t="n">
        <x:f>MAX(-20%,'Opportunity Assumptions'!$G$8+'Opportunity Assumptions'!$D$16+'Opportunity Assumptions'!$H$8*'Opportunity Assumptions'!$I$8+(1-'Opportunity Assumptions'!$H$8)*('Opportunity Assumptions'!$B$27*'Opportunity Assumptions'!$J$8-MAX(0,'Opportunity Assumptions'!$C$27+'Opportunity Assumptions'!$G$16)))</x:f>
        <x:v>0.1381</x:v>
      </x:c>
      <x:c r="L152" s="118" t="n">
        <x:f>MAX(-20%,'Opportunity Assumptions'!$G$8+'Opportunity Assumptions'!$D$16+'Opportunity Assumptions'!$H$8*'Opportunity Assumptions'!$I$8+(1-'Opportunity Assumptions'!$H$8)*('Opportunity Assumptions'!$B$28*'Opportunity Assumptions'!$J$8-MAX(0,'Opportunity Assumptions'!$C$28+'Opportunity Assumptions'!$G$16)))</x:f>
        <x:v>0.1381</x:v>
      </x:c>
      <x:c r="M152" s="118" t="n">
        <x:f>MAX(-20%,'Opportunity Assumptions'!$G$8+'Opportunity Assumptions'!$D$16+'Opportunity Assumptions'!$H$8*'Opportunity Assumptions'!$I$8+(1-'Opportunity Assumptions'!$H$8)*('Opportunity Assumptions'!$B$29*'Opportunity Assumptions'!$J$8-MAX(0,'Opportunity Assumptions'!$C$29+'Opportunity Assumptions'!$G$16)))</x:f>
        <x:v>0.1381</x:v>
      </x:c>
    </x:row>
    <x:row r="153">
      <x:c r="A153" s="27" t="str">
        <x:v>EBITDA margin</x:v>
      </x:c>
      <x:c r="B153" s="27" t="str">
        <x:v>%</x:v>
      </x:c>
      <x:c r="C153" s="118" t="n">
        <x:v>0</x:v>
      </x:c>
      <x:c r="D153" s="118" t="n">
        <x:f>MAX(3%,MIN(55%,'Opportunity Assumptions'!$K$8+('Opportunity Assumptions'!$L$8-'Opportunity Assumptions'!$K$8)*MIN(1,(1-1)/4)+'Opportunity Assumptions'!$E$16))</x:f>
        <x:v>0.195</x:v>
      </x:c>
      <x:c r="E153" s="118" t="n">
        <x:f>MAX(3%,MIN(55%,'Opportunity Assumptions'!$K$8+('Opportunity Assumptions'!$L$8-'Opportunity Assumptions'!$K$8)*MIN(1,(2-1)/4)+'Opportunity Assumptions'!$E$16))</x:f>
        <x:v>0.21</x:v>
      </x:c>
      <x:c r="F153" s="118" t="n">
        <x:f>MAX(3%,MIN(55%,'Opportunity Assumptions'!$K$8+('Opportunity Assumptions'!$L$8-'Opportunity Assumptions'!$K$8)*MIN(1,(3-1)/4)+'Opportunity Assumptions'!$E$16))</x:f>
        <x:v>0.225</x:v>
      </x:c>
      <x:c r="G153" s="118" t="n">
        <x:f>MAX(3%,MIN(55%,'Opportunity Assumptions'!$K$8+('Opportunity Assumptions'!$L$8-'Opportunity Assumptions'!$K$8)*MIN(1,(4-1)/4)+'Opportunity Assumptions'!$E$16))</x:f>
        <x:v>0.24000000000000002</x:v>
      </x:c>
      <x:c r="H153" s="118" t="n">
        <x:f>MAX(3%,MIN(55%,'Opportunity Assumptions'!$K$8+('Opportunity Assumptions'!$L$8-'Opportunity Assumptions'!$K$8)*MIN(1,(5-1)/4)+'Opportunity Assumptions'!$E$16))</x:f>
        <x:v>0.255</x:v>
      </x:c>
      <x:c r="I153" s="118" t="n">
        <x:f>MAX(3%,MIN(55%,'Opportunity Assumptions'!$K$8+('Opportunity Assumptions'!$L$8-'Opportunity Assumptions'!$K$8)*MIN(1,(6-1)/4)+'Opportunity Assumptions'!$E$16))</x:f>
        <x:v>0.255</x:v>
      </x:c>
      <x:c r="J153" s="118" t="n">
        <x:f>MAX(3%,MIN(55%,'Opportunity Assumptions'!$K$8+('Opportunity Assumptions'!$L$8-'Opportunity Assumptions'!$K$8)*MIN(1,(7-1)/4)+'Opportunity Assumptions'!$E$16))</x:f>
        <x:v>0.255</x:v>
      </x:c>
      <x:c r="K153" s="118" t="n">
        <x:f>MAX(3%,MIN(55%,'Opportunity Assumptions'!$K$8+('Opportunity Assumptions'!$L$8-'Opportunity Assumptions'!$K$8)*MIN(1,(8-1)/4)+'Opportunity Assumptions'!$E$16))</x:f>
        <x:v>0.255</x:v>
      </x:c>
      <x:c r="L153" s="118" t="n">
        <x:f>MAX(3%,MIN(55%,'Opportunity Assumptions'!$K$8+('Opportunity Assumptions'!$L$8-'Opportunity Assumptions'!$K$8)*MIN(1,(9-1)/4)+'Opportunity Assumptions'!$E$16))</x:f>
        <x:v>0.255</x:v>
      </x:c>
      <x:c r="M153" s="118" t="n">
        <x:f>MAX(3%,MIN(55%,'Opportunity Assumptions'!$K$8+('Opportunity Assumptions'!$L$8-'Opportunity Assumptions'!$K$8)*MIN(1,(10-1)/4)+'Opportunity Assumptions'!$E$16))</x:f>
        <x:v>0.255</x:v>
      </x:c>
    </x:row>
    <x:row r="154">
      <x:c r="A154" s="27" t="str">
        <x:v>EBITDA</x:v>
      </x:c>
      <x:c r="B154" s="27" t="str">
        <x:v>$m</x:v>
      </x:c>
      <x:c r="C154" s="117" t="n">
        <x:v>0</x:v>
      </x:c>
      <x:c r="D154" s="117" t="n">
        <x:f>D151*D153</x:f>
        <x:v>0.45864</x:v>
      </x:c>
      <x:c r="E154" s="117" t="n">
        <x:f>E151*E153</x:f>
        <x:v>0.5614487424</x:v>
      </x:c>
      <x:c r="F154" s="117" t="n">
        <x:f>F151*F153</x:f>
        <x:v>0.6846265861344001</x:v>
      </x:c>
      <x:c r="G154" s="117" t="n">
        <x:f>G151*G153</x:f>
        <x:v>0.8311184188581981</x:v>
      </x:c>
      <x:c r="H154" s="117" t="n">
        <x:f>H151*H153</x:f>
        <x:v>1.0050143645339225</x:v>
      </x:c>
      <x:c r="I154" s="117" t="n">
        <x:f>I151*I153</x:f>
        <x:v>1.1438068482760573</x:v>
      </x:c>
      <x:c r="J154" s="117" t="n">
        <x:f>J151*J153</x:f>
        <x:v>1.301766574022981</x:v>
      </x:c>
      <x:c r="K154" s="117" t="n">
        <x:f>K151*K153</x:f>
        <x:v>1.4815405378955546</x:v>
      </x:c>
      <x:c r="L154" s="117" t="n">
        <x:f>L151*L153</x:f>
        <x:v>1.6861412861789309</x:v>
      </x:c>
      <x:c r="M154" s="117" t="n">
        <x:f>M151*M153</x:f>
        <x:v>1.9189973978002415</x:v>
      </x:c>
    </x:row>
    <x:row r="155">
      <x:c r="A155" s="27" t="str">
        <x:v>D&amp;A</x:v>
      </x:c>
      <x:c r="B155" s="27" t="str">
        <x:v>$m</x:v>
      </x:c>
      <x:c r="C155" s="117" t="n">
        <x:v>0</x:v>
      </x:c>
      <x:c r="D155" s="117" t="n">
        <x:f>D151*'Opportunity Assumptions'!$M$8</x:f>
        <x:v>0.10583999999999999</x:v>
      </x:c>
      <x:c r="E155" s="117" t="n">
        <x:f>E151*'Opportunity Assumptions'!$M$8</x:f>
        <x:v>0.1203104448</x:v>
      </x:c>
      <x:c r="F155" s="117" t="n">
        <x:f>F151*'Opportunity Assumptions'!$M$8</x:f>
        <x:v>0.13692531722688</x:v>
      </x:c>
      <x:c r="G155" s="117" t="n">
        <x:f>G151*'Opportunity Assumptions'!$M$8</x:f>
        <x:v>0.15583470353591214</x:v>
      </x:c>
      <x:c r="H155" s="117" t="n">
        <x:f>H151*'Opportunity Assumptions'!$M$8</x:f>
        <x:v>0.17735547609422161</x:v>
      </x:c>
      <x:c r="I155" s="117" t="n">
        <x:f>I151*'Opportunity Assumptions'!$M$8</x:f>
        <x:v>0.20184826734283362</x:v>
      </x:c>
      <x:c r="J155" s="117" t="n">
        <x:f>J151*'Opportunity Assumptions'!$M$8</x:f>
        <x:v>0.22972351306287897</x:v>
      </x:c>
      <x:c r="K155" s="117" t="n">
        <x:f>K151*'Opportunity Assumptions'!$M$8</x:f>
        <x:v>0.2614483302168626</x:v>
      </x:c>
      <x:c r="L155" s="117" t="n">
        <x:f>L151*'Opportunity Assumptions'!$M$8</x:f>
        <x:v>0.29755434461981134</x:v>
      </x:c>
      <x:c r="M155" s="117" t="n">
        <x:f>M151*'Opportunity Assumptions'!$M$8</x:f>
        <x:v>0.3386465996118073</x:v>
      </x:c>
    </x:row>
    <x:row r="156">
      <x:c r="A156" s="27" t="str">
        <x:v>EBIT</x:v>
      </x:c>
      <x:c r="B156" s="27" t="str">
        <x:v>$m</x:v>
      </x:c>
      <x:c r="C156" s="117" t="n">
        <x:v>0</x:v>
      </x:c>
      <x:c r="D156" s="117" t="n">
        <x:f>D154-D155</x:f>
        <x:v>0.3528</x:v>
      </x:c>
      <x:c r="E156" s="117" t="n">
        <x:f>E154-E155</x:f>
        <x:v>0.4411382976</x:v>
      </x:c>
      <x:c r="F156" s="117" t="n">
        <x:f>F154-F155</x:f>
        <x:v>0.54770126890752</x:v>
      </x:c>
      <x:c r="G156" s="117" t="n">
        <x:f>G154-G155</x:f>
        <x:v>0.675283715322286</x:v>
      </x:c>
      <x:c r="H156" s="117" t="n">
        <x:f>H154-H155</x:f>
        <x:v>0.8276588884397008</x:v>
      </x:c>
      <x:c r="I156" s="117" t="n">
        <x:f>I154-I155</x:f>
        <x:v>0.9419585809332236</x:v>
      </x:c>
      <x:c r="J156" s="117" t="n">
        <x:f>J154-J155</x:f>
        <x:v>1.072043060960102</x:v>
      </x:c>
      <x:c r="K156" s="117" t="n">
        <x:f>K154-K155</x:f>
        <x:v>1.220092207678692</x:v>
      </x:c>
      <x:c r="L156" s="117" t="n">
        <x:f>L154-L155</x:f>
        <x:v>1.3885869415591197</x:v>
      </x:c>
      <x:c r="M156" s="117" t="n">
        <x:f>M154-M155</x:f>
        <x:v>1.5803507981884342</x:v>
      </x:c>
    </x:row>
    <x:row r="157">
      <x:c r="A157" s="27" t="str">
        <x:v>Corporate tax</x:v>
      </x:c>
      <x:c r="B157" s="27" t="str">
        <x:v>$m</x:v>
      </x:c>
      <x:c r="C157" s="117" t="n">
        <x:v>0</x:v>
      </x:c>
      <x:c r="D157" s="117" t="n">
        <x:f>MAX(0,D156)*'Opportunity Assumptions'!$D$20</x:f>
        <x:v>0.063504</x:v>
      </x:c>
      <x:c r="E157" s="117" t="n">
        <x:f>MAX(0,E156)*'Opportunity Assumptions'!$D$21</x:f>
        <x:v>0.079404893568</x:v>
      </x:c>
      <x:c r="F157" s="117" t="n">
        <x:f>MAX(0,F156)*'Opportunity Assumptions'!$D$22</x:f>
        <x:v>0.0985862284033536</x:v>
      </x:c>
      <x:c r="G157" s="117" t="n">
        <x:f>MAX(0,G156)*'Opportunity Assumptions'!$D$23</x:f>
        <x:v>0.12155106875801149</x:v>
      </x:c>
      <x:c r="H157" s="117" t="n">
        <x:f>MAX(0,H156)*'Opportunity Assumptions'!$D$24</x:f>
        <x:v>0.14897859991914614</x:v>
      </x:c>
      <x:c r="I157" s="117" t="n">
        <x:f>MAX(0,I156)*'Opportunity Assumptions'!$D$25</x:f>
        <x:v>0.16955254456798025</x:v>
      </x:c>
      <x:c r="J157" s="117" t="n">
        <x:f>MAX(0,J156)*'Opportunity Assumptions'!$D$26</x:f>
        <x:v>0.19296775097281835</x:v>
      </x:c>
      <x:c r="K157" s="117" t="n">
        <x:f>MAX(0,K156)*'Opportunity Assumptions'!$D$27</x:f>
        <x:v>0.21961659738216455</x:v>
      </x:c>
      <x:c r="L157" s="117" t="n">
        <x:f>MAX(0,L156)*'Opportunity Assumptions'!$D$28</x:f>
        <x:v>0.24994564948064152</x:v>
      </x:c>
      <x:c r="M157" s="117" t="n">
        <x:f>MAX(0,M156)*'Opportunity Assumptions'!$D$29</x:f>
        <x:v>0.2844631436739181</x:v>
      </x:c>
    </x:row>
    <x:row r="158">
      <x:c r="A158" s="27" t="str">
        <x:v>Capex</x:v>
      </x:c>
      <x:c r="B158" s="27" t="str">
        <x:v>$m</x:v>
      </x:c>
      <x:c r="C158" s="117" t="n">
        <x:v>0</x:v>
      </x:c>
      <x:c r="D158" s="117" t="n">
        <x:f>D151*'Opportunity Assumptions'!$N$8</x:f>
        <x:v>0.12936</x:v>
      </x:c>
      <x:c r="E158" s="117" t="n">
        <x:f>E151*'Opportunity Assumptions'!$N$8</x:f>
        <x:v>0.1470460992</x:v>
      </x:c>
      <x:c r="F158" s="117" t="n">
        <x:f>F151*'Opportunity Assumptions'!$N$8</x:f>
        <x:v>0.16735316549952</x:v>
      </x:c>
      <x:c r="G158" s="117" t="n">
        <x:f>G151*'Opportunity Assumptions'!$N$8</x:f>
        <x:v>0.19046463765500374</x:v>
      </x:c>
      <x:c r="H158" s="117" t="n">
        <x:f>H151*'Opportunity Assumptions'!$N$8</x:f>
        <x:v>0.21676780411515975</x:v>
      </x:c>
      <x:c r="I158" s="117" t="n">
        <x:f>I151*'Opportunity Assumptions'!$N$8</x:f>
        <x:v>0.24670343786346333</x:v>
      </x:c>
      <x:c r="J158" s="117" t="n">
        <x:f>J151*'Opportunity Assumptions'!$N$8</x:f>
        <x:v>0.28077318263240764</x:v>
      </x:c>
      <x:c r="K158" s="117" t="n">
        <x:f>K151*'Opportunity Assumptions'!$N$8</x:f>
        <x:v>0.3195479591539432</x:v>
      </x:c>
      <x:c r="L158" s="117" t="n">
        <x:f>L151*'Opportunity Assumptions'!$N$8</x:f>
        <x:v>0.36367753231310274</x:v>
      </x:c>
      <x:c r="M158" s="117" t="n">
        <x:f>M151*'Opportunity Assumptions'!$N$8</x:f>
        <x:v>0.4139013995255423</x:v>
      </x:c>
    </x:row>
    <x:row r="159">
      <x:c r="A159" s="27" t="str">
        <x:v>Change in NWC</x:v>
      </x:c>
      <x:c r="B159" s="27" t="str">
        <x:v>$m</x:v>
      </x:c>
      <x:c r="C159" s="117" t="n">
        <x:v>0</x:v>
      </x:c>
      <x:c r="D159" s="117" t="n">
        <x:f>0</x:f>
        <x:v>0</x:v>
      </x:c>
      <x:c r="E159" s="117" t="n">
        <x:f>(E151-D151)*'Opportunity Assumptions'!$O$8</x:f>
        <x:v>0.03858785280000001</x:v>
      </x:c>
      <x:c r="F159" s="117" t="n">
        <x:f>(F151-E151)*'Opportunity Assumptions'!$O$8</x:f>
        <x:v>0.04430632647168002</x:v>
      </x:c>
      <x:c r="G159" s="117" t="n">
        <x:f>(G151-F151)*'Opportunity Assumptions'!$O$8</x:f>
        <x:v>0.05042503015741904</x:v>
      </x:c>
      <x:c r="H159" s="117" t="n">
        <x:f>(H151-G151)*'Opportunity Assumptions'!$O$8</x:f>
        <x:v>0.05738872682215861</x:v>
      </x:c>
      <x:c r="I159" s="117" t="n">
        <x:f>(I151-H151)*'Opportunity Assumptions'!$O$8</x:f>
        <x:v>0.06531410999629869</x:v>
      </x:c>
      <x:c r="J159" s="117" t="n">
        <x:f>(J151-I151)*'Opportunity Assumptions'!$O$8</x:f>
        <x:v>0.07433398858678761</x:v>
      </x:c>
      <x:c r="K159" s="117" t="n">
        <x:f>(K151-J151)*'Opportunity Assumptions'!$O$8</x:f>
        <x:v>0.08459951241062291</x:v>
      </x:c>
      <x:c r="L159" s="117" t="n">
        <x:f>(L151-K151)*'Opportunity Assumptions'!$O$8</x:f>
        <x:v>0.09628270507453003</x:v>
      </x:c>
      <x:c r="M159" s="117" t="n">
        <x:f>(M151-L151)*'Opportunity Assumptions'!$O$8</x:f>
        <x:v>0.1095793466453226</x:v>
      </x:c>
    </x:row>
    <x:row r="160">
      <x:c r="A160" s="27" t="str">
        <x:v>Free cash flow</x:v>
      </x:c>
      <x:c r="B160" s="27" t="str">
        <x:v>$m</x:v>
      </x:c>
      <x:c r="C160" s="117" t="n">
        <x:v>0</x:v>
      </x:c>
      <x:c r="D160" s="117" t="n">
        <x:f>D154-D157-D158-D159</x:f>
        <x:v>0.265776</x:v>
      </x:c>
      <x:c r="E160" s="117" t="n">
        <x:f>E154-E157-E158-E159</x:f>
        <x:v>0.296409896832</x:v>
      </x:c>
      <x:c r="F160" s="117" t="n">
        <x:f>F154-F157-F158-F159</x:f>
        <x:v>0.3743808657598464</x:v>
      </x:c>
      <x:c r="G160" s="117" t="n">
        <x:f>G154-G157-G158-G159</x:f>
        <x:v>0.46867768228776385</x:v>
      </x:c>
      <x:c r="H160" s="117" t="n">
        <x:f>H154-H157-H158-H159</x:f>
        <x:v>0.581879233677458</x:v>
      </x:c>
      <x:c r="I160" s="117" t="n">
        <x:f>I154-I157-I158-I159</x:f>
        <x:v>0.662236755848315</x:v>
      </x:c>
      <x:c r="J160" s="117" t="n">
        <x:f>J154-J157-J158-J159</x:f>
        <x:v>0.7536916518309674</x:v>
      </x:c>
      <x:c r="K160" s="117" t="n">
        <x:f>K154-K157-K158-K159</x:f>
        <x:v>0.8577764689488241</x:v>
      </x:c>
      <x:c r="L160" s="117" t="n">
        <x:f>L154-L157-L158-L159</x:f>
        <x:v>0.9762353993106565</x:v>
      </x:c>
      <x:c r="M160" s="117" t="n">
        <x:f>M154-M157-M158-M159</x:f>
        <x:v>1.1110535079554587</x:v>
      </x:c>
    </x:row>
    <x:row r="161">
      <x:c r="A161" s="27" t="str">
        <x:v>Terminal value</x:v>
      </x:c>
      <x:c r="B161" s="27" t="str">
        <x:v>$m</x:v>
      </x:c>
      <x:c r="C161" s="117" t="n">
        <x:v>0</x:v>
      </x:c>
      <x:c r="D161" s="117" t="n">
        <x:f>0</x:f>
        <x:v>0</x:v>
      </x:c>
      <x:c r="E161" s="117" t="n">
        <x:f>0</x:f>
        <x:v>0</x:v>
      </x:c>
      <x:c r="F161" s="117" t="n">
        <x:f>0</x:f>
        <x:v>0</x:v>
      </x:c>
      <x:c r="G161" s="117" t="n">
        <x:f>0</x:f>
        <x:v>0</x:v>
      </x:c>
      <x:c r="H161" s="117" t="n">
        <x:f>0</x:f>
        <x:v>0</x:v>
      </x:c>
      <x:c r="I161" s="117" t="n">
        <x:f>0</x:f>
        <x:v>0</x:v>
      </x:c>
      <x:c r="J161" s="117" t="n">
        <x:f>0</x:f>
        <x:v>0</x:v>
      </x:c>
      <x:c r="K161" s="117" t="n">
        <x:f>0</x:f>
        <x:v>0</x:v>
      </x:c>
      <x:c r="L161" s="117" t="n">
        <x:f>0</x:f>
        <x:v>0</x:v>
      </x:c>
      <x:c r="M161" s="117" t="n">
        <x:f>M154*'Opportunity Assumptions'!$P$8*'Opportunity Assumptions'!$F$16</x:f>
        <x:v>12.281583345921545</x:v>
      </x:c>
    </x:row>
    <x:row r="162">
      <x:c r="A162" s="119" t="str">
        <x:v>Equity cash flow</x:v>
      </x:c>
      <x:c r="B162" s="119" t="str">
        <x:v>$m</x:v>
      </x:c>
      <x:c r="C162" s="120" t="n">
        <x:f>-'Opportunity Assumptions'!$D$8</x:f>
        <x:v>-1.5</x:v>
      </x:c>
      <x:c r="D162" s="120" t="n">
        <x:f>IF(1&lt;='Opportunity Assumptions'!$H$16,MIN(0,D160),D160)+D161</x:f>
        <x:v>0</x:v>
      </x:c>
      <x:c r="E162" s="120" t="n">
        <x:f>IF(2&lt;='Opportunity Assumptions'!$H$16,MIN(0,E160),E160)+E161</x:f>
        <x:v>0.296409896832</x:v>
      </x:c>
      <x:c r="F162" s="120" t="n">
        <x:f>IF(3&lt;='Opportunity Assumptions'!$H$16,MIN(0,F160),F160)+F161</x:f>
        <x:v>0.3743808657598464</x:v>
      </x:c>
      <x:c r="G162" s="120" t="n">
        <x:f>IF(4&lt;='Opportunity Assumptions'!$H$16,MIN(0,G160),G160)+G161</x:f>
        <x:v>0.46867768228776385</x:v>
      </x:c>
      <x:c r="H162" s="120" t="n">
        <x:f>IF(5&lt;='Opportunity Assumptions'!$H$16,MIN(0,H160),H160)+H161</x:f>
        <x:v>0.581879233677458</x:v>
      </x:c>
      <x:c r="I162" s="120" t="n">
        <x:f>IF(6&lt;='Opportunity Assumptions'!$H$16,MIN(0,I160),I160)+I161</x:f>
        <x:v>0.662236755848315</x:v>
      </x:c>
      <x:c r="J162" s="120" t="n">
        <x:f>IF(7&lt;='Opportunity Assumptions'!$H$16,MIN(0,J160),J160)+J161</x:f>
        <x:v>0.7536916518309674</x:v>
      </x:c>
      <x:c r="K162" s="120" t="n">
        <x:f>IF(8&lt;='Opportunity Assumptions'!$H$16,MIN(0,K160),K160)+K161</x:f>
        <x:v>0.8577764689488241</x:v>
      </x:c>
      <x:c r="L162" s="120" t="n">
        <x:f>IF(9&lt;='Opportunity Assumptions'!$H$16,MIN(0,L160),L160)+L161</x:f>
        <x:v>0.9762353993106565</x:v>
      </x:c>
      <x:c r="M162" s="120" t="n">
        <x:f>IF(10&lt;='Opportunity Assumptions'!$H$16,MIN(0,M160),M160)+M161</x:f>
        <x:v>13.392636853877004</x:v>
      </x:c>
    </x:row>
    <x:row r="163">
      <x:c r="A163" s="27" t="str">
        <x:v>Gross USD IRR</x:v>
      </x:c>
      <x:c r="B163" s="27" t="str">
        <x:v>%</x:v>
      </x:c>
      <x:c r="C163" s="118" t="n">
        <x:f>IF(AND(MIN(C162:M162)&lt;0,MAX(C162:M162)&gt;0),IRR(C162:M162),"")</x:f>
        <x:v>0.3621803282138212</x:v>
      </x:c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</x:row>
    <x:row r="164">
      <x:c r="A164" s="27" t="str">
        <x:v>Gross USD MOIC</x:v>
      </x:c>
      <x:c r="B164" s="27" t="str">
        <x:v>x</x:v>
      </x:c>
      <x:c r="C164" s="121" t="n">
        <x:f>SUMIF(C162:M162,"&gt;0",C162:M162)/-SUMIF(C162:M162,"&lt;0",C162:M162)</x:f>
        <x:v>12.242616538915224</x:v>
      </x:c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</x:row>
    <x:row r="165">
      <x:c r="A165" s="27" t="str">
        <x:v>NPV @ 20%</x:v>
      </x:c>
      <x:c r="B165" s="27" t="str">
        <x:v>$m</x:v>
      </x:c>
      <x:c r="C165" s="117" t="n">
        <x:f>NPV('Opportunity Assumptions'!$E$20,D162:M162)+C162</x:f>
        <x:v>2.3661625032722364</x:v>
      </x:c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</x:row>
    <x:row r="167">
      <x:c r="A167" s="32" t="str">
        <x:v>Distributed industrial power &amp; storage SPV — Downside</x:v>
      </x:c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</x:row>
    <x:row r="168">
      <x:c r="A168" s="28" t="str">
        <x:v>Metric</x:v>
      </x:c>
      <x:c r="B168" s="28" t="str">
        <x:v>Units</x:v>
      </x:c>
      <x:c r="C168" s="28" t="n">
        <x:v>0</x:v>
      </x:c>
      <x:c r="D168" s="28" t="n">
        <x:v>1</x:v>
      </x:c>
      <x:c r="E168" s="28" t="n">
        <x:v>2</x:v>
      </x:c>
      <x:c r="F168" s="28" t="n">
        <x:v>3</x:v>
      </x:c>
      <x:c r="G168" s="28" t="n">
        <x:v>4</x:v>
      </x:c>
      <x:c r="H168" s="28" t="n">
        <x:v>5</x:v>
      </x:c>
      <x:c r="I168" s="28" t="n">
        <x:v>6</x:v>
      </x:c>
      <x:c r="J168" s="28" t="n">
        <x:v>7</x:v>
      </x:c>
      <x:c r="K168" s="28" t="n">
        <x:v>8</x:v>
      </x:c>
      <x:c r="L168" s="28" t="n">
        <x:v>9</x:v>
      </x:c>
      <x:c r="M168" s="28" t="n">
        <x:v>10</x:v>
      </x:c>
    </x:row>
    <x:row r="169">
      <x:c r="A169" s="27" t="str">
        <x:v>Revenue</x:v>
      </x:c>
      <x:c r="B169" s="27" t="str">
        <x:v>$m</x:v>
      </x:c>
      <x:c r="C169" s="117" t="n">
        <x:v>0</x:v>
      </x:c>
      <x:c r="D169" s="117" t="n">
        <x:f>'Opportunity Assumptions'!$D$9*'Opportunity Assumptions'!$F$9*'Opportunity Assumptions'!$C$14</x:f>
        <x:v>0.6749999999999999</x:v>
      </x:c>
      <x:c r="E169" s="117" t="n">
        <x:f>D169*(1+E170)</x:f>
        <x:v>0.6426</x:v>
      </x:c>
      <x:c r="F169" s="117" t="n">
        <x:f>E169*(1+F170)</x:f>
        <x:v>0.6120764999999999</x:v>
      </x:c>
      <x:c r="G169" s="117" t="n">
        <x:f>F169*(1+G170)</x:f>
        <x:v>0.58300286625</x:v>
      </x:c>
      <x:c r="H169" s="117" t="n">
        <x:f>G169*(1+H170)</x:f>
        <x:v>0.555310230103125</x:v>
      </x:c>
      <x:c r="I169" s="117" t="n">
        <x:f>H169*(1+I170)</x:f>
        <x:v>0.5289329941732266</x:v>
      </x:c>
      <x:c r="J169" s="117" t="n">
        <x:f>I169*(1+J170)</x:f>
        <x:v>0.5038086769499983</x:v>
      </x:c>
      <x:c r="K169" s="117" t="n">
        <x:f>J169*(1+K170)</x:f>
        <x:v>0.4798777647948734</x:v>
      </x:c>
      <x:c r="L169" s="117" t="n">
        <x:f>K169*(1+L170)</x:f>
        <x:v>0.4570835709671169</x:v>
      </x:c>
      <x:c r="M169" s="117" t="n">
        <x:f>L169*(1+M170)</x:f>
        <x:v>0.4353721013461788</x:v>
      </x:c>
    </x:row>
    <x:row r="170">
      <x:c r="A170" s="27" t="str">
        <x:v>USD revenue growth</x:v>
      </x:c>
      <x:c r="B170" s="27" t="str">
        <x:v>%</x:v>
      </x:c>
      <x:c r="C170" s="118" t="n">
        <x:v>0</x:v>
      </x:c>
      <x:c r="D170" s="118"/>
      <x:c r="E170" s="118" t="n">
        <x:f>MAX(-20%,'Opportunity Assumptions'!$G$9+'Opportunity Assumptions'!$D$14+'Opportunity Assumptions'!$H$9*'Opportunity Assumptions'!$I$9+(1-'Opportunity Assumptions'!$H$9)*('Opportunity Assumptions'!$B$21*'Opportunity Assumptions'!$J$9-MAX(0,'Opportunity Assumptions'!$C$21+'Opportunity Assumptions'!$G$14)))</x:f>
        <x:v>-0.048</x:v>
      </x:c>
      <x:c r="F170" s="118" t="n">
        <x:f>MAX(-20%,'Opportunity Assumptions'!$G$9+'Opportunity Assumptions'!$D$14+'Opportunity Assumptions'!$H$9*'Opportunity Assumptions'!$I$9+(1-'Opportunity Assumptions'!$H$9)*('Opportunity Assumptions'!$B$22*'Opportunity Assumptions'!$J$9-MAX(0,'Opportunity Assumptions'!$C$22+'Opportunity Assumptions'!$G$14)))</x:f>
        <x:v>-0.0475</x:v>
      </x:c>
      <x:c r="G170" s="118" t="n">
        <x:f>MAX(-20%,'Opportunity Assumptions'!$G$9+'Opportunity Assumptions'!$D$14+'Opportunity Assumptions'!$H$9*'Opportunity Assumptions'!$I$9+(1-'Opportunity Assumptions'!$H$9)*('Opportunity Assumptions'!$B$23*'Opportunity Assumptions'!$J$9-MAX(0,'Opportunity Assumptions'!$C$23+'Opportunity Assumptions'!$G$14)))</x:f>
        <x:v>-0.0475</x:v>
      </x:c>
      <x:c r="H170" s="118" t="n">
        <x:f>MAX(-20%,'Opportunity Assumptions'!$G$9+'Opportunity Assumptions'!$D$14+'Opportunity Assumptions'!$H$9*'Opportunity Assumptions'!$I$9+(1-'Opportunity Assumptions'!$H$9)*('Opportunity Assumptions'!$B$24*'Opportunity Assumptions'!$J$9-MAX(0,'Opportunity Assumptions'!$C$24+'Opportunity Assumptions'!$G$14)))</x:f>
        <x:v>-0.0475</x:v>
      </x:c>
      <x:c r="I170" s="118" t="n">
        <x:f>MAX(-20%,'Opportunity Assumptions'!$G$9+'Opportunity Assumptions'!$D$14+'Opportunity Assumptions'!$H$9*'Opportunity Assumptions'!$I$9+(1-'Opportunity Assumptions'!$H$9)*('Opportunity Assumptions'!$B$25*'Opportunity Assumptions'!$J$9-MAX(0,'Opportunity Assumptions'!$C$25+'Opportunity Assumptions'!$G$14)))</x:f>
        <x:v>-0.0475</x:v>
      </x:c>
      <x:c r="J170" s="118" t="n">
        <x:f>MAX(-20%,'Opportunity Assumptions'!$G$9+'Opportunity Assumptions'!$D$14+'Opportunity Assumptions'!$H$9*'Opportunity Assumptions'!$I$9+(1-'Opportunity Assumptions'!$H$9)*('Opportunity Assumptions'!$B$26*'Opportunity Assumptions'!$J$9-MAX(0,'Opportunity Assumptions'!$C$26+'Opportunity Assumptions'!$G$14)))</x:f>
        <x:v>-0.0475</x:v>
      </x:c>
      <x:c r="K170" s="118" t="n">
        <x:f>MAX(-20%,'Opportunity Assumptions'!$G$9+'Opportunity Assumptions'!$D$14+'Opportunity Assumptions'!$H$9*'Opportunity Assumptions'!$I$9+(1-'Opportunity Assumptions'!$H$9)*('Opportunity Assumptions'!$B$27*'Opportunity Assumptions'!$J$9-MAX(0,'Opportunity Assumptions'!$C$27+'Opportunity Assumptions'!$G$14)))</x:f>
        <x:v>-0.0475</x:v>
      </x:c>
      <x:c r="L170" s="118" t="n">
        <x:f>MAX(-20%,'Opportunity Assumptions'!$G$9+'Opportunity Assumptions'!$D$14+'Opportunity Assumptions'!$H$9*'Opportunity Assumptions'!$I$9+(1-'Opportunity Assumptions'!$H$9)*('Opportunity Assumptions'!$B$28*'Opportunity Assumptions'!$J$9-MAX(0,'Opportunity Assumptions'!$C$28+'Opportunity Assumptions'!$G$14)))</x:f>
        <x:v>-0.0475</x:v>
      </x:c>
      <x:c r="M170" s="118" t="n">
        <x:f>MAX(-20%,'Opportunity Assumptions'!$G$9+'Opportunity Assumptions'!$D$14+'Opportunity Assumptions'!$H$9*'Opportunity Assumptions'!$I$9+(1-'Opportunity Assumptions'!$H$9)*('Opportunity Assumptions'!$B$29*'Opportunity Assumptions'!$J$9-MAX(0,'Opportunity Assumptions'!$C$29+'Opportunity Assumptions'!$G$14)))</x:f>
        <x:v>-0.0475</x:v>
      </x:c>
    </x:row>
    <x:row r="171">
      <x:c r="A171" s="27" t="str">
        <x:v>EBITDA margin</x:v>
      </x:c>
      <x:c r="B171" s="27" t="str">
        <x:v>%</x:v>
      </x:c>
      <x:c r="C171" s="118" t="n">
        <x:v>0</x:v>
      </x:c>
      <x:c r="D171" s="118" t="n">
        <x:f>MAX(3%,MIN(55%,'Opportunity Assumptions'!$K$9+('Opportunity Assumptions'!$L$9-'Opportunity Assumptions'!$K$9)*MIN(1,(1-1)/4)+'Opportunity Assumptions'!$E$14))</x:f>
        <x:v>0.29</x:v>
      </x:c>
      <x:c r="E171" s="118" t="n">
        <x:f>MAX(3%,MIN(55%,'Opportunity Assumptions'!$K$9+('Opportunity Assumptions'!$L$9-'Opportunity Assumptions'!$K$9)*MIN(1,(2-1)/4)+'Opportunity Assumptions'!$E$14))</x:f>
        <x:v>0.3075</x:v>
      </x:c>
      <x:c r="F171" s="118" t="n">
        <x:f>MAX(3%,MIN(55%,'Opportunity Assumptions'!$K$9+('Opportunity Assumptions'!$L$9-'Opportunity Assumptions'!$K$9)*MIN(1,(3-1)/4)+'Opportunity Assumptions'!$E$14))</x:f>
        <x:v>0.325</x:v>
      </x:c>
      <x:c r="G171" s="118" t="n">
        <x:f>MAX(3%,MIN(55%,'Opportunity Assumptions'!$K$9+('Opportunity Assumptions'!$L$9-'Opportunity Assumptions'!$K$9)*MIN(1,(4-1)/4)+'Opportunity Assumptions'!$E$14))</x:f>
        <x:v>0.34249999999999997</x:v>
      </x:c>
      <x:c r="H171" s="118" t="n">
        <x:f>MAX(3%,MIN(55%,'Opportunity Assumptions'!$K$9+('Opportunity Assumptions'!$L$9-'Opportunity Assumptions'!$K$9)*MIN(1,(5-1)/4)+'Opportunity Assumptions'!$E$14))</x:f>
        <x:v>0.36</x:v>
      </x:c>
      <x:c r="I171" s="118" t="n">
        <x:f>MAX(3%,MIN(55%,'Opportunity Assumptions'!$K$9+('Opportunity Assumptions'!$L$9-'Opportunity Assumptions'!$K$9)*MIN(1,(6-1)/4)+'Opportunity Assumptions'!$E$14))</x:f>
        <x:v>0.36</x:v>
      </x:c>
      <x:c r="J171" s="118" t="n">
        <x:f>MAX(3%,MIN(55%,'Opportunity Assumptions'!$K$9+('Opportunity Assumptions'!$L$9-'Opportunity Assumptions'!$K$9)*MIN(1,(7-1)/4)+'Opportunity Assumptions'!$E$14))</x:f>
        <x:v>0.36</x:v>
      </x:c>
      <x:c r="K171" s="118" t="n">
        <x:f>MAX(3%,MIN(55%,'Opportunity Assumptions'!$K$9+('Opportunity Assumptions'!$L$9-'Opportunity Assumptions'!$K$9)*MIN(1,(8-1)/4)+'Opportunity Assumptions'!$E$14))</x:f>
        <x:v>0.36</x:v>
      </x:c>
      <x:c r="L171" s="118" t="n">
        <x:f>MAX(3%,MIN(55%,'Opportunity Assumptions'!$K$9+('Opportunity Assumptions'!$L$9-'Opportunity Assumptions'!$K$9)*MIN(1,(9-1)/4)+'Opportunity Assumptions'!$E$14))</x:f>
        <x:v>0.36</x:v>
      </x:c>
      <x:c r="M171" s="118" t="n">
        <x:f>MAX(3%,MIN(55%,'Opportunity Assumptions'!$K$9+('Opportunity Assumptions'!$L$9-'Opportunity Assumptions'!$K$9)*MIN(1,(10-1)/4)+'Opportunity Assumptions'!$E$14))</x:f>
        <x:v>0.36</x:v>
      </x:c>
    </x:row>
    <x:row r="172">
      <x:c r="A172" s="27" t="str">
        <x:v>EBITDA</x:v>
      </x:c>
      <x:c r="B172" s="27" t="str">
        <x:v>$m</x:v>
      </x:c>
      <x:c r="C172" s="117" t="n">
        <x:v>0</x:v>
      </x:c>
      <x:c r="D172" s="117" t="n">
        <x:f>D169*D171</x:f>
        <x:v>0.19574999999999998</x:v>
      </x:c>
      <x:c r="E172" s="117" t="n">
        <x:f>E169*E171</x:f>
        <x:v>0.19759949999999998</x:v>
      </x:c>
      <x:c r="F172" s="117" t="n">
        <x:f>F169*F171</x:f>
        <x:v>0.19892486249999997</x:v>
      </x:c>
      <x:c r="G172" s="117" t="n">
        <x:f>G169*G171</x:f>
        <x:v>0.19967848169062496</x:v>
      </x:c>
      <x:c r="H172" s="117" t="n">
        <x:f>H169*H171</x:f>
        <x:v>0.199911682837125</x:v>
      </x:c>
      <x:c r="I172" s="117" t="n">
        <x:f>I169*I171</x:f>
        <x:v>0.19041587790236156</x:v>
      </x:c>
      <x:c r="J172" s="117" t="n">
        <x:f>J169*J171</x:f>
        <x:v>0.1813711237019994</x:v>
      </x:c>
      <x:c r="K172" s="117" t="n">
        <x:f>K169*K171</x:f>
        <x:v>0.1727559953261544</x:v>
      </x:c>
      <x:c r="L172" s="117" t="n">
        <x:f>L169*L171</x:f>
        <x:v>0.16455008554816208</x:v>
      </x:c>
      <x:c r="M172" s="117" t="n">
        <x:f>M169*M171</x:f>
        <x:v>0.15673395648462438</x:v>
      </x:c>
    </x:row>
    <x:row r="173">
      <x:c r="A173" s="27" t="str">
        <x:v>D&amp;A</x:v>
      </x:c>
      <x:c r="B173" s="27" t="str">
        <x:v>$m</x:v>
      </x:c>
      <x:c r="C173" s="117" t="n">
        <x:v>0</x:v>
      </x:c>
      <x:c r="D173" s="117" t="n">
        <x:f>D169*'Opportunity Assumptions'!$M$9</x:f>
        <x:v>0.06749999999999999</x:v>
      </x:c>
      <x:c r="E173" s="117" t="n">
        <x:f>E169*'Opportunity Assumptions'!$M$9</x:f>
        <x:v>0.06426</x:v>
      </x:c>
      <x:c r="F173" s="117" t="n">
        <x:f>F169*'Opportunity Assumptions'!$M$9</x:f>
        <x:v>0.061207649999999995</x:v>
      </x:c>
      <x:c r="G173" s="117" t="n">
        <x:f>G169*'Opportunity Assumptions'!$M$9</x:f>
        <x:v>0.058300286625</x:v>
      </x:c>
      <x:c r="H173" s="117" t="n">
        <x:f>H169*'Opportunity Assumptions'!$M$9</x:f>
        <x:v>0.0555310230103125</x:v>
      </x:c>
      <x:c r="I173" s="117" t="n">
        <x:f>I169*'Opportunity Assumptions'!$M$9</x:f>
        <x:v>0.05289329941732266</x:v>
      </x:c>
      <x:c r="J173" s="117" t="n">
        <x:f>J169*'Opportunity Assumptions'!$M$9</x:f>
        <x:v>0.05038086769499983</x:v>
      </x:c>
      <x:c r="K173" s="117" t="n">
        <x:f>K169*'Opportunity Assumptions'!$M$9</x:f>
        <x:v>0.04798777647948734</x:v>
      </x:c>
      <x:c r="L173" s="117" t="n">
        <x:f>L169*'Opportunity Assumptions'!$M$9</x:f>
        <x:v>0.04570835709671169</x:v>
      </x:c>
      <x:c r="M173" s="117" t="n">
        <x:f>M169*'Opportunity Assumptions'!$M$9</x:f>
        <x:v>0.043537210134617886</x:v>
      </x:c>
    </x:row>
    <x:row r="174">
      <x:c r="A174" s="27" t="str">
        <x:v>EBIT</x:v>
      </x:c>
      <x:c r="B174" s="27" t="str">
        <x:v>$m</x:v>
      </x:c>
      <x:c r="C174" s="117" t="n">
        <x:v>0</x:v>
      </x:c>
      <x:c r="D174" s="117" t="n">
        <x:f>D172-D173</x:f>
        <x:v>0.12824999999999998</x:v>
      </x:c>
      <x:c r="E174" s="117" t="n">
        <x:f>E172-E173</x:f>
        <x:v>0.1333395</x:v>
      </x:c>
      <x:c r="F174" s="117" t="n">
        <x:f>F172-F173</x:f>
        <x:v>0.13771721249999996</x:v>
      </x:c>
      <x:c r="G174" s="117" t="n">
        <x:f>G172-G173</x:f>
        <x:v>0.14137819506562496</x:v>
      </x:c>
      <x:c r="H174" s="117" t="n">
        <x:f>H172-H173</x:f>
        <x:v>0.14438065982681247</x:v>
      </x:c>
      <x:c r="I174" s="117" t="n">
        <x:f>I172-I173</x:f>
        <x:v>0.1375225784850389</x:v>
      </x:c>
      <x:c r="J174" s="117" t="n">
        <x:f>J172-J173</x:f>
        <x:v>0.13099025600699957</x:v>
      </x:c>
      <x:c r="K174" s="117" t="n">
        <x:f>K172-K173</x:f>
        <x:v>0.12476821884666706</x:v>
      </x:c>
      <x:c r="L174" s="117" t="n">
        <x:f>L172-L173</x:f>
        <x:v>0.11884172845145038</x:v>
      </x:c>
      <x:c r="M174" s="117" t="n">
        <x:f>M172-M173</x:f>
        <x:v>0.11319674635000648</x:v>
      </x:c>
    </x:row>
    <x:row r="175">
      <x:c r="A175" s="27" t="str">
        <x:v>Corporate tax</x:v>
      </x:c>
      <x:c r="B175" s="27" t="str">
        <x:v>$m</x:v>
      </x:c>
      <x:c r="C175" s="117" t="n">
        <x:v>0</x:v>
      </x:c>
      <x:c r="D175" s="117" t="n">
        <x:f>MAX(0,D174)*'Opportunity Assumptions'!$D$20</x:f>
        <x:v>0.023084999999999994</x:v>
      </x:c>
      <x:c r="E175" s="117" t="n">
        <x:f>MAX(0,E174)*'Opportunity Assumptions'!$D$21</x:f>
        <x:v>0.02400111</x:v>
      </x:c>
      <x:c r="F175" s="117" t="n">
        <x:f>MAX(0,F174)*'Opportunity Assumptions'!$D$22</x:f>
        <x:v>0.024789098249999992</x:v>
      </x:c>
      <x:c r="G175" s="117" t="n">
        <x:f>MAX(0,G174)*'Opportunity Assumptions'!$D$23</x:f>
        <x:v>0.025448075111812494</x:v>
      </x:c>
      <x:c r="H175" s="117" t="n">
        <x:f>MAX(0,H174)*'Opportunity Assumptions'!$D$24</x:f>
        <x:v>0.025988518768826244</x:v>
      </x:c>
      <x:c r="I175" s="117" t="n">
        <x:f>MAX(0,I174)*'Opportunity Assumptions'!$D$25</x:f>
        <x:v>0.024754064127307</x:v>
      </x:c>
      <x:c r="J175" s="117" t="n">
        <x:f>MAX(0,J174)*'Opportunity Assumptions'!$D$26</x:f>
        <x:v>0.02357824608125992</x:v>
      </x:c>
      <x:c r="K175" s="117" t="n">
        <x:f>MAX(0,K174)*'Opportunity Assumptions'!$D$27</x:f>
        <x:v>0.02245827939240007</x:v>
      </x:c>
      <x:c r="L175" s="117" t="n">
        <x:f>MAX(0,L174)*'Opportunity Assumptions'!$D$28</x:f>
        <x:v>0.02139151112126107</x:v>
      </x:c>
      <x:c r="M175" s="117" t="n">
        <x:f>MAX(0,M174)*'Opportunity Assumptions'!$D$29</x:f>
        <x:v>0.020375414343001167</x:v>
      </x:c>
    </x:row>
    <x:row r="176">
      <x:c r="A176" s="27" t="str">
        <x:v>Capex</x:v>
      </x:c>
      <x:c r="B176" s="27" t="str">
        <x:v>$m</x:v>
      </x:c>
      <x:c r="C176" s="117" t="n">
        <x:v>0</x:v>
      </x:c>
      <x:c r="D176" s="117" t="n">
        <x:f>D169*'Opportunity Assumptions'!$N$9</x:f>
        <x:v>0.037125</x:v>
      </x:c>
      <x:c r="E176" s="117" t="n">
        <x:f>E169*'Opportunity Assumptions'!$N$9</x:f>
        <x:v>0.035343</x:v>
      </x:c>
      <x:c r="F176" s="117" t="n">
        <x:f>F169*'Opportunity Assumptions'!$N$9</x:f>
        <x:v>0.033664207499999994</x:v>
      </x:c>
      <x:c r="G176" s="117" t="n">
        <x:f>G169*'Opportunity Assumptions'!$N$9</x:f>
        <x:v>0.03206515764375</x:v>
      </x:c>
      <x:c r="H176" s="117" t="n">
        <x:f>H169*'Opportunity Assumptions'!$N$9</x:f>
        <x:v>0.030542062655671873</x:v>
      </x:c>
      <x:c r="I176" s="117" t="n">
        <x:f>I169*'Opportunity Assumptions'!$N$9</x:f>
        <x:v>0.029091314679527462</x:v>
      </x:c>
      <x:c r="J176" s="117" t="n">
        <x:f>J169*'Opportunity Assumptions'!$N$9</x:f>
        <x:v>0.027709477232249907</x:v>
      </x:c>
      <x:c r="K176" s="117" t="n">
        <x:f>K169*'Opportunity Assumptions'!$N$9</x:f>
        <x:v>0.026393277063718034</x:v>
      </x:c>
      <x:c r="L176" s="117" t="n">
        <x:f>L169*'Opportunity Assumptions'!$N$9</x:f>
        <x:v>0.02513959640319143</x:v>
      </x:c>
      <x:c r="M176" s="117" t="n">
        <x:f>M169*'Opportunity Assumptions'!$N$9</x:f>
        <x:v>0.023945465574039836</x:v>
      </x:c>
    </x:row>
    <x:row r="177">
      <x:c r="A177" s="27" t="str">
        <x:v>Change in NWC</x:v>
      </x:c>
      <x:c r="B177" s="27" t="str">
        <x:v>$m</x:v>
      </x:c>
      <x:c r="C177" s="117" t="n">
        <x:v>0</x:v>
      </x:c>
      <x:c r="D177" s="117" t="n">
        <x:f>0</x:f>
        <x:v>0</x:v>
      </x:c>
      <x:c r="E177" s="117" t="n">
        <x:f>(E169-D169)*'Opportunity Assumptions'!$O$9</x:f>
        <x:v>-0.0011339999999999996</x:v>
      </x:c>
      <x:c r="F177" s="117" t="n">
        <x:f>(F169-E169)*'Opportunity Assumptions'!$O$9</x:f>
        <x:v>-0.0010683225000000015</x:v>
      </x:c>
      <x:c r="G177" s="117" t="n">
        <x:f>(G169-F169)*'Opportunity Assumptions'!$O$9</x:f>
        <x:v>-0.0010175771812499978</x:v>
      </x:c>
      <x:c r="H177" s="117" t="n">
        <x:f>(H169-G169)*'Opportunity Assumptions'!$O$9</x:f>
        <x:v>-0.0009692422651406252</x:v>
      </x:c>
      <x:c r="I177" s="117" t="n">
        <x:f>(I169-H169)*'Opportunity Assumptions'!$O$9</x:f>
        <x:v>-0.0009232032575464434</x:v>
      </x:c>
      <x:c r="J177" s="117" t="n">
        <x:f>(J169-I169)*'Opportunity Assumptions'!$O$9</x:f>
        <x:v>-0.0008793511028129898</x:v>
      </x:c>
      <x:c r="K177" s="117" t="n">
        <x:f>(K169-J169)*'Opportunity Assumptions'!$O$9</x:f>
        <x:v>-0.000837581925429373</x:v>
      </x:c>
      <x:c r="L177" s="117" t="n">
        <x:f>(L169-K169)*'Opportunity Assumptions'!$O$9</x:f>
        <x:v>-0.0007977967839714773</x:v>
      </x:c>
      <x:c r="M177" s="117" t="n">
        <x:f>(M169-L169)*'Opportunity Assumptions'!$O$9</x:f>
        <x:v>-0.0007599014367328322</x:v>
      </x:c>
    </x:row>
    <x:row r="178">
      <x:c r="A178" s="27" t="str">
        <x:v>Free cash flow</x:v>
      </x:c>
      <x:c r="B178" s="27" t="str">
        <x:v>$m</x:v>
      </x:c>
      <x:c r="C178" s="117" t="n">
        <x:v>0</x:v>
      </x:c>
      <x:c r="D178" s="117" t="n">
        <x:f>D172-D175-D176-D177</x:f>
        <x:v>0.13554</x:v>
      </x:c>
      <x:c r="E178" s="117" t="n">
        <x:f>E172-E175-E176-E177</x:f>
        <x:v>0.13938938999999997</x:v>
      </x:c>
      <x:c r="F178" s="117" t="n">
        <x:f>F172-F175-F176-F177</x:f>
        <x:v>0.14153987924999997</x:v>
      </x:c>
      <x:c r="G178" s="117" t="n">
        <x:f>G172-G175-G176-G177</x:f>
        <x:v>0.14318282611631247</x:v>
      </x:c>
      <x:c r="H178" s="117" t="n">
        <x:f>H172-H175-H176-H177</x:f>
        <x:v>0.1443503436777675</x:v>
      </x:c>
      <x:c r="I178" s="117" t="n">
        <x:f>I172-I175-I176-I177</x:f>
        <x:v>0.13749370235307354</x:v>
      </x:c>
      <x:c r="J178" s="117" t="n">
        <x:f>J172-J175-J176-J177</x:f>
        <x:v>0.13096275149130257</x:v>
      </x:c>
      <x:c r="K178" s="117" t="n">
        <x:f>K172-K175-K176-K177</x:f>
        <x:v>0.12474202079546569</x:v>
      </x:c>
      <x:c r="L178" s="117" t="n">
        <x:f>L172-L175-L176-L177</x:f>
        <x:v>0.11881677480768107</x:v>
      </x:c>
      <x:c r="M178" s="117" t="n">
        <x:f>M172-M175-M176-M177</x:f>
        <x:v>0.11317297800431621</x:v>
      </x:c>
    </x:row>
    <x:row r="179">
      <x:c r="A179" s="27" t="str">
        <x:v>Terminal value</x:v>
      </x:c>
      <x:c r="B179" s="27" t="str">
        <x:v>$m</x:v>
      </x:c>
      <x:c r="C179" s="117" t="n">
        <x:v>0</x:v>
      </x:c>
      <x:c r="D179" s="117" t="n">
        <x:f>0</x:f>
        <x:v>0</x:v>
      </x:c>
      <x:c r="E179" s="117" t="n">
        <x:f>0</x:f>
        <x:v>0</x:v>
      </x:c>
      <x:c r="F179" s="117" t="n">
        <x:f>0</x:f>
        <x:v>0</x:v>
      </x:c>
      <x:c r="G179" s="117" t="n">
        <x:f>0</x:f>
        <x:v>0</x:v>
      </x:c>
      <x:c r="H179" s="117" t="n">
        <x:f>0</x:f>
        <x:v>0</x:v>
      </x:c>
      <x:c r="I179" s="117" t="n">
        <x:f>0</x:f>
        <x:v>0</x:v>
      </x:c>
      <x:c r="J179" s="117" t="n">
        <x:f>0</x:f>
        <x:v>0</x:v>
      </x:c>
      <x:c r="K179" s="117" t="n">
        <x:f>0</x:f>
        <x:v>0</x:v>
      </x:c>
      <x:c r="L179" s="117" t="n">
        <x:f>0</x:f>
        <x:v>0</x:v>
      </x:c>
      <x:c r="M179" s="117" t="n">
        <x:f>M172*'Opportunity Assumptions'!$P$9*'Opportunity Assumptions'!$F$14</x:f>
        <x:v>0.5172220563992604</x:v>
      </x:c>
    </x:row>
    <x:row r="180">
      <x:c r="A180" s="119" t="str">
        <x:v>Equity cash flow</x:v>
      </x:c>
      <x:c r="B180" s="119" t="str">
        <x:v>$m</x:v>
      </x:c>
      <x:c r="C180" s="120" t="n">
        <x:f>-'Opportunity Assumptions'!$D$9</x:f>
        <x:v>-1.5</x:v>
      </x:c>
      <x:c r="D180" s="120" t="n">
        <x:f>IF(1&lt;='Opportunity Assumptions'!$H$14,MIN(0,D178),D178)+D179</x:f>
        <x:v>0</x:v>
      </x:c>
      <x:c r="E180" s="120" t="n">
        <x:f>IF(2&lt;='Opportunity Assumptions'!$H$14,MIN(0,E178),E178)+E179</x:f>
        <x:v>0</x:v>
      </x:c>
      <x:c r="F180" s="120" t="n">
        <x:f>IF(3&lt;='Opportunity Assumptions'!$H$14,MIN(0,F178),F178)+F179</x:f>
        <x:v>0</x:v>
      </x:c>
      <x:c r="G180" s="120" t="n">
        <x:f>IF(4&lt;='Opportunity Assumptions'!$H$14,MIN(0,G178),G178)+G179</x:f>
        <x:v>0.14318282611631247</x:v>
      </x:c>
      <x:c r="H180" s="120" t="n">
        <x:f>IF(5&lt;='Opportunity Assumptions'!$H$14,MIN(0,H178),H178)+H179</x:f>
        <x:v>0.1443503436777675</x:v>
      </x:c>
      <x:c r="I180" s="120" t="n">
        <x:f>IF(6&lt;='Opportunity Assumptions'!$H$14,MIN(0,I178),I178)+I179</x:f>
        <x:v>0.13749370235307354</x:v>
      </x:c>
      <x:c r="J180" s="120" t="n">
        <x:f>IF(7&lt;='Opportunity Assumptions'!$H$14,MIN(0,J178),J178)+J179</x:f>
        <x:v>0.13096275149130257</x:v>
      </x:c>
      <x:c r="K180" s="120" t="n">
        <x:f>IF(8&lt;='Opportunity Assumptions'!$H$14,MIN(0,K178),K178)+K179</x:f>
        <x:v>0.12474202079546569</x:v>
      </x:c>
      <x:c r="L180" s="120" t="n">
        <x:f>IF(9&lt;='Opportunity Assumptions'!$H$14,MIN(0,L178),L178)+L179</x:f>
        <x:v>0.11881677480768107</x:v>
      </x:c>
      <x:c r="M180" s="120" t="n">
        <x:f>IF(10&lt;='Opportunity Assumptions'!$H$14,MIN(0,M178),M178)+M179</x:f>
        <x:v>0.6303950344035767</x:v>
      </x:c>
    </x:row>
    <x:row r="181">
      <x:c r="A181" s="27" t="str">
        <x:v>Gross USD IRR</x:v>
      </x:c>
      <x:c r="B181" s="27" t="str">
        <x:v>%</x:v>
      </x:c>
      <x:c r="C181" s="118" t="n">
        <x:f>IF(AND(MIN(C180:M180)&lt;0,MAX(C180:M180)&gt;0),IRR(C180:M180),"")</x:f>
        <x:v>-0.005966918268308078</x:v>
      </x:c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</x:row>
    <x:row r="182">
      <x:c r="A182" s="27" t="str">
        <x:v>Gross USD MOIC</x:v>
      </x:c>
      <x:c r="B182" s="27" t="str">
        <x:v>x</x:v>
      </x:c>
      <x:c r="C182" s="121" t="n">
        <x:f>SUMIF(C180:M180,"&gt;0",C180:M180)/-SUMIF(C180:M180,"&lt;0",C180:M180)</x:f>
        <x:v>0.9532956357634529</x:v>
      </x:c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</x:row>
    <x:row r="183">
      <x:c r="A183" s="27" t="str">
        <x:v>NPV @ 20%</x:v>
      </x:c>
      <x:c r="B183" s="27" t="str">
        <x:v>$m</x:v>
      </x:c>
      <x:c r="C183" s="117" t="n">
        <x:f>NPV('Opportunity Assumptions'!$E$20,D180:M180)+C180</x:f>
        <x:v>-1.13649199975788</x:v>
      </x:c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</x:row>
    <x:row r="185">
      <x:c r="A185" s="32" t="str">
        <x:v>Distributed industrial power &amp; storage SPV — Base</x:v>
      </x:c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</x:row>
    <x:row r="186">
      <x:c r="A186" s="28" t="str">
        <x:v>Metric</x:v>
      </x:c>
      <x:c r="B186" s="28" t="str">
        <x:v>Units</x:v>
      </x:c>
      <x:c r="C186" s="28" t="n">
        <x:v>0</x:v>
      </x:c>
      <x:c r="D186" s="28" t="n">
        <x:v>1</x:v>
      </x:c>
      <x:c r="E186" s="28" t="n">
        <x:v>2</x:v>
      </x:c>
      <x:c r="F186" s="28" t="n">
        <x:v>3</x:v>
      </x:c>
      <x:c r="G186" s="28" t="n">
        <x:v>4</x:v>
      </x:c>
      <x:c r="H186" s="28" t="n">
        <x:v>5</x:v>
      </x:c>
      <x:c r="I186" s="28" t="n">
        <x:v>6</x:v>
      </x:c>
      <x:c r="J186" s="28" t="n">
        <x:v>7</x:v>
      </x:c>
      <x:c r="K186" s="28" t="n">
        <x:v>8</x:v>
      </x:c>
      <x:c r="L186" s="28" t="n">
        <x:v>9</x:v>
      </x:c>
      <x:c r="M186" s="28" t="n">
        <x:v>10</x:v>
      </x:c>
    </x:row>
    <x:row r="187">
      <x:c r="A187" s="27" t="str">
        <x:v>Revenue</x:v>
      </x:c>
      <x:c r="B187" s="27" t="str">
        <x:v>$m</x:v>
      </x:c>
      <x:c r="C187" s="117" t="n">
        <x:v>0</x:v>
      </x:c>
      <x:c r="D187" s="117" t="n">
        <x:f>'Opportunity Assumptions'!$D$9*'Opportunity Assumptions'!$F$9*'Opportunity Assumptions'!$C$15</x:f>
        <x:v>0.8999999999999999</x:v>
      </x:c>
      <x:c r="E187" s="117" t="n">
        <x:f>D187*(1+E188)</x:f>
        <x:v>0.9558</x:v>
      </x:c>
      <x:c r="F187" s="117" t="n">
        <x:f>E187*(1+F188)</x:f>
        <x:v>1.0155375</x:v>
      </x:c>
      <x:c r="G187" s="117" t="n">
        <x:f>F187*(1+G188)</x:f>
        <x:v>1.07900859375</x:v>
      </x:c>
      <x:c r="H187" s="117" t="n">
        <x:f>G187*(1+H188)</x:f>
        <x:v>1.146446630859375</x:v>
      </x:c>
      <x:c r="I187" s="117" t="n">
        <x:f>H187*(1+I188)</x:f>
        <x:v>1.218099545288086</x:v>
      </x:c>
      <x:c r="J187" s="117" t="n">
        <x:f>I187*(1+J188)</x:f>
        <x:v>1.2942307668685915</x:v>
      </x:c>
      <x:c r="K187" s="117" t="n">
        <x:f>J187*(1+K188)</x:f>
        <x:v>1.3751201897978784</x:v>
      </x:c>
      <x:c r="L187" s="117" t="n">
        <x:f>K187*(1+L188)</x:f>
        <x:v>1.461065201660246</x:v>
      </x:c>
      <x:c r="M187" s="117" t="n">
        <x:f>L187*(1+M188)</x:f>
        <x:v>1.5523817767640113</x:v>
      </x:c>
    </x:row>
    <x:row r="188">
      <x:c r="A188" s="27" t="str">
        <x:v>USD revenue growth</x:v>
      </x:c>
      <x:c r="B188" s="27" t="str">
        <x:v>%</x:v>
      </x:c>
      <x:c r="C188" s="118" t="n">
        <x:v>0</x:v>
      </x:c>
      <x:c r="D188" s="118"/>
      <x:c r="E188" s="118" t="n">
        <x:f>MAX(-20%,'Opportunity Assumptions'!$G$9+'Opportunity Assumptions'!$D$15+'Opportunity Assumptions'!$H$9*'Opportunity Assumptions'!$I$9+(1-'Opportunity Assumptions'!$H$9)*('Opportunity Assumptions'!$B$21*'Opportunity Assumptions'!$J$9-MAX(0,'Opportunity Assumptions'!$C$21+'Opportunity Assumptions'!$G$15)))</x:f>
        <x:v>0.062</x:v>
      </x:c>
      <x:c r="F188" s="118" t="n">
        <x:f>MAX(-20%,'Opportunity Assumptions'!$G$9+'Opportunity Assumptions'!$D$15+'Opportunity Assumptions'!$H$9*'Opportunity Assumptions'!$I$9+(1-'Opportunity Assumptions'!$H$9)*('Opportunity Assumptions'!$B$22*'Opportunity Assumptions'!$J$9-MAX(0,'Opportunity Assumptions'!$C$22+'Opportunity Assumptions'!$G$15)))</x:f>
        <x:v>0.0625</x:v>
      </x:c>
      <x:c r="G188" s="118" t="n">
        <x:f>MAX(-20%,'Opportunity Assumptions'!$G$9+'Opportunity Assumptions'!$D$15+'Opportunity Assumptions'!$H$9*'Opportunity Assumptions'!$I$9+(1-'Opportunity Assumptions'!$H$9)*('Opportunity Assumptions'!$B$23*'Opportunity Assumptions'!$J$9-MAX(0,'Opportunity Assumptions'!$C$23+'Opportunity Assumptions'!$G$15)))</x:f>
        <x:v>0.0625</x:v>
      </x:c>
      <x:c r="H188" s="118" t="n">
        <x:f>MAX(-20%,'Opportunity Assumptions'!$G$9+'Opportunity Assumptions'!$D$15+'Opportunity Assumptions'!$H$9*'Opportunity Assumptions'!$I$9+(1-'Opportunity Assumptions'!$H$9)*('Opportunity Assumptions'!$B$24*'Opportunity Assumptions'!$J$9-MAX(0,'Opportunity Assumptions'!$C$24+'Opportunity Assumptions'!$G$15)))</x:f>
        <x:v>0.0625</x:v>
      </x:c>
      <x:c r="I188" s="118" t="n">
        <x:f>MAX(-20%,'Opportunity Assumptions'!$G$9+'Opportunity Assumptions'!$D$15+'Opportunity Assumptions'!$H$9*'Opportunity Assumptions'!$I$9+(1-'Opportunity Assumptions'!$H$9)*('Opportunity Assumptions'!$B$25*'Opportunity Assumptions'!$J$9-MAX(0,'Opportunity Assumptions'!$C$25+'Opportunity Assumptions'!$G$15)))</x:f>
        <x:v>0.0625</x:v>
      </x:c>
      <x:c r="J188" s="118" t="n">
        <x:f>MAX(-20%,'Opportunity Assumptions'!$G$9+'Opportunity Assumptions'!$D$15+'Opportunity Assumptions'!$H$9*'Opportunity Assumptions'!$I$9+(1-'Opportunity Assumptions'!$H$9)*('Opportunity Assumptions'!$B$26*'Opportunity Assumptions'!$J$9-MAX(0,'Opportunity Assumptions'!$C$26+'Opportunity Assumptions'!$G$15)))</x:f>
        <x:v>0.0625</x:v>
      </x:c>
      <x:c r="K188" s="118" t="n">
        <x:f>MAX(-20%,'Opportunity Assumptions'!$G$9+'Opportunity Assumptions'!$D$15+'Opportunity Assumptions'!$H$9*'Opportunity Assumptions'!$I$9+(1-'Opportunity Assumptions'!$H$9)*('Opportunity Assumptions'!$B$27*'Opportunity Assumptions'!$J$9-MAX(0,'Opportunity Assumptions'!$C$27+'Opportunity Assumptions'!$G$15)))</x:f>
        <x:v>0.0625</x:v>
      </x:c>
      <x:c r="L188" s="118" t="n">
        <x:f>MAX(-20%,'Opportunity Assumptions'!$G$9+'Opportunity Assumptions'!$D$15+'Opportunity Assumptions'!$H$9*'Opportunity Assumptions'!$I$9+(1-'Opportunity Assumptions'!$H$9)*('Opportunity Assumptions'!$B$28*'Opportunity Assumptions'!$J$9-MAX(0,'Opportunity Assumptions'!$C$28+'Opportunity Assumptions'!$G$15)))</x:f>
        <x:v>0.0625</x:v>
      </x:c>
      <x:c r="M188" s="118" t="n">
        <x:f>MAX(-20%,'Opportunity Assumptions'!$G$9+'Opportunity Assumptions'!$D$15+'Opportunity Assumptions'!$H$9*'Opportunity Assumptions'!$I$9+(1-'Opportunity Assumptions'!$H$9)*('Opportunity Assumptions'!$B$29*'Opportunity Assumptions'!$J$9-MAX(0,'Opportunity Assumptions'!$C$29+'Opportunity Assumptions'!$G$15)))</x:f>
        <x:v>0.0625</x:v>
      </x:c>
    </x:row>
    <x:row r="189">
      <x:c r="A189" s="27" t="str">
        <x:v>EBITDA margin</x:v>
      </x:c>
      <x:c r="B189" s="27" t="str">
        <x:v>%</x:v>
      </x:c>
      <x:c r="C189" s="118" t="n">
        <x:v>0</x:v>
      </x:c>
      <x:c r="D189" s="118" t="n">
        <x:f>MAX(3%,MIN(55%,'Opportunity Assumptions'!$K$9+('Opportunity Assumptions'!$L$9-'Opportunity Assumptions'!$K$9)*MIN(1,(1-1)/4)+'Opportunity Assumptions'!$E$15))</x:f>
        <x:v>0.35</x:v>
      </x:c>
      <x:c r="E189" s="118" t="n">
        <x:f>MAX(3%,MIN(55%,'Opportunity Assumptions'!$K$9+('Opportunity Assumptions'!$L$9-'Opportunity Assumptions'!$K$9)*MIN(1,(2-1)/4)+'Opportunity Assumptions'!$E$15))</x:f>
        <x:v>0.3675</x:v>
      </x:c>
      <x:c r="F189" s="118" t="n">
        <x:f>MAX(3%,MIN(55%,'Opportunity Assumptions'!$K$9+('Opportunity Assumptions'!$L$9-'Opportunity Assumptions'!$K$9)*MIN(1,(3-1)/4)+'Opportunity Assumptions'!$E$15))</x:f>
        <x:v>0.385</x:v>
      </x:c>
      <x:c r="G189" s="118" t="n">
        <x:f>MAX(3%,MIN(55%,'Opportunity Assumptions'!$K$9+('Opportunity Assumptions'!$L$9-'Opportunity Assumptions'!$K$9)*MIN(1,(4-1)/4)+'Opportunity Assumptions'!$E$15))</x:f>
        <x:v>0.40249999999999997</x:v>
      </x:c>
      <x:c r="H189" s="118" t="n">
        <x:f>MAX(3%,MIN(55%,'Opportunity Assumptions'!$K$9+('Opportunity Assumptions'!$L$9-'Opportunity Assumptions'!$K$9)*MIN(1,(5-1)/4)+'Opportunity Assumptions'!$E$15))</x:f>
        <x:v>0.42</x:v>
      </x:c>
      <x:c r="I189" s="118" t="n">
        <x:f>MAX(3%,MIN(55%,'Opportunity Assumptions'!$K$9+('Opportunity Assumptions'!$L$9-'Opportunity Assumptions'!$K$9)*MIN(1,(6-1)/4)+'Opportunity Assumptions'!$E$15))</x:f>
        <x:v>0.42</x:v>
      </x:c>
      <x:c r="J189" s="118" t="n">
        <x:f>MAX(3%,MIN(55%,'Opportunity Assumptions'!$K$9+('Opportunity Assumptions'!$L$9-'Opportunity Assumptions'!$K$9)*MIN(1,(7-1)/4)+'Opportunity Assumptions'!$E$15))</x:f>
        <x:v>0.42</x:v>
      </x:c>
      <x:c r="K189" s="118" t="n">
        <x:f>MAX(3%,MIN(55%,'Opportunity Assumptions'!$K$9+('Opportunity Assumptions'!$L$9-'Opportunity Assumptions'!$K$9)*MIN(1,(8-1)/4)+'Opportunity Assumptions'!$E$15))</x:f>
        <x:v>0.42</x:v>
      </x:c>
      <x:c r="L189" s="118" t="n">
        <x:f>MAX(3%,MIN(55%,'Opportunity Assumptions'!$K$9+('Opportunity Assumptions'!$L$9-'Opportunity Assumptions'!$K$9)*MIN(1,(9-1)/4)+'Opportunity Assumptions'!$E$15))</x:f>
        <x:v>0.42</x:v>
      </x:c>
      <x:c r="M189" s="118" t="n">
        <x:f>MAX(3%,MIN(55%,'Opportunity Assumptions'!$K$9+('Opportunity Assumptions'!$L$9-'Opportunity Assumptions'!$K$9)*MIN(1,(10-1)/4)+'Opportunity Assumptions'!$E$15))</x:f>
        <x:v>0.42</x:v>
      </x:c>
    </x:row>
    <x:row r="190">
      <x:c r="A190" s="27" t="str">
        <x:v>EBITDA</x:v>
      </x:c>
      <x:c r="B190" s="27" t="str">
        <x:v>$m</x:v>
      </x:c>
      <x:c r="C190" s="117" t="n">
        <x:v>0</x:v>
      </x:c>
      <x:c r="D190" s="117" t="n">
        <x:f>D187*D189</x:f>
        <x:v>0.31499999999999995</x:v>
      </x:c>
      <x:c r="E190" s="117" t="n">
        <x:f>E187*E189</x:f>
        <x:v>0.35125649999999997</x:v>
      </x:c>
      <x:c r="F190" s="117" t="n">
        <x:f>F187*F189</x:f>
        <x:v>0.3909819375</x:v>
      </x:c>
      <x:c r="G190" s="117" t="n">
        <x:f>G187*G189</x:f>
        <x:v>0.434300958984375</x:v>
      </x:c>
      <x:c r="H190" s="117" t="n">
        <x:f>H187*H189</x:f>
        <x:v>0.4815075849609375</x:v>
      </x:c>
      <x:c r="I190" s="117" t="n">
        <x:f>I187*I189</x:f>
        <x:v>0.5116018090209962</x:v>
      </x:c>
      <x:c r="J190" s="117" t="n">
        <x:f>J187*J189</x:f>
        <x:v>0.5435769220848085</x:v>
      </x:c>
      <x:c r="K190" s="117" t="n">
        <x:f>K187*K189</x:f>
        <x:v>0.5775504797151089</x:v>
      </x:c>
      <x:c r="L190" s="117" t="n">
        <x:f>L187*L189</x:f>
        <x:v>0.6136473846973033</x:v>
      </x:c>
      <x:c r="M190" s="117" t="n">
        <x:f>M187*M189</x:f>
        <x:v>0.6520003462408848</x:v>
      </x:c>
    </x:row>
    <x:row r="191">
      <x:c r="A191" s="27" t="str">
        <x:v>D&amp;A</x:v>
      </x:c>
      <x:c r="B191" s="27" t="str">
        <x:v>$m</x:v>
      </x:c>
      <x:c r="C191" s="117" t="n">
        <x:v>0</x:v>
      </x:c>
      <x:c r="D191" s="117" t="n">
        <x:f>D187*'Opportunity Assumptions'!$M$9</x:f>
        <x:v>0.09</x:v>
      </x:c>
      <x:c r="E191" s="117" t="n">
        <x:f>E187*'Opportunity Assumptions'!$M$9</x:f>
        <x:v>0.09558</x:v>
      </x:c>
      <x:c r="F191" s="117" t="n">
        <x:f>F187*'Opportunity Assumptions'!$M$9</x:f>
        <x:v>0.10155375</x:v>
      </x:c>
      <x:c r="G191" s="117" t="n">
        <x:f>G187*'Opportunity Assumptions'!$M$9</x:f>
        <x:v>0.107900859375</x:v>
      </x:c>
      <x:c r="H191" s="117" t="n">
        <x:f>H187*'Opportunity Assumptions'!$M$9</x:f>
        <x:v>0.11464466308593751</x:v>
      </x:c>
      <x:c r="I191" s="117" t="n">
        <x:f>I187*'Opportunity Assumptions'!$M$9</x:f>
        <x:v>0.1218099545288086</x:v>
      </x:c>
      <x:c r="J191" s="117" t="n">
        <x:f>J187*'Opportunity Assumptions'!$M$9</x:f>
        <x:v>0.12942307668685915</x:v>
      </x:c>
      <x:c r="K191" s="117" t="n">
        <x:f>K187*'Opportunity Assumptions'!$M$9</x:f>
        <x:v>0.13751201897978785</x:v>
      </x:c>
      <x:c r="L191" s="117" t="n">
        <x:f>L187*'Opportunity Assumptions'!$M$9</x:f>
        <x:v>0.1461065201660246</x:v>
      </x:c>
      <x:c r="M191" s="117" t="n">
        <x:f>M187*'Opportunity Assumptions'!$M$9</x:f>
        <x:v>0.15523817767640113</x:v>
      </x:c>
    </x:row>
    <x:row r="192">
      <x:c r="A192" s="27" t="str">
        <x:v>EBIT</x:v>
      </x:c>
      <x:c r="B192" s="27" t="str">
        <x:v>$m</x:v>
      </x:c>
      <x:c r="C192" s="117" t="n">
        <x:v>0</x:v>
      </x:c>
      <x:c r="D192" s="117" t="n">
        <x:f>D190-D191</x:f>
        <x:v>0.22499999999999995</x:v>
      </x:c>
      <x:c r="E192" s="117" t="n">
        <x:f>E190-E191</x:f>
        <x:v>0.2556765</x:v>
      </x:c>
      <x:c r="F192" s="117" t="n">
        <x:f>F190-F191</x:f>
        <x:v>0.2894281875</x:v>
      </x:c>
      <x:c r="G192" s="117" t="n">
        <x:f>G190-G191</x:f>
        <x:v>0.326400099609375</x:v>
      </x:c>
      <x:c r="H192" s="117" t="n">
        <x:f>H190-H191</x:f>
        <x:v>0.36686292187499997</x:v>
      </x:c>
      <x:c r="I192" s="117" t="n">
        <x:f>I190-I191</x:f>
        <x:v>0.38979185449218756</x:v>
      </x:c>
      <x:c r="J192" s="117" t="n">
        <x:f>J190-J191</x:f>
        <x:v>0.4141538453979493</x:v>
      </x:c>
      <x:c r="K192" s="117" t="n">
        <x:f>K190-K191</x:f>
        <x:v>0.44003846073532105</x:v>
      </x:c>
      <x:c r="L192" s="117" t="n">
        <x:f>L190-L191</x:f>
        <x:v>0.4675408645312787</x:v>
      </x:c>
      <x:c r="M192" s="117" t="n">
        <x:f>M190-M191</x:f>
        <x:v>0.49676216856448363</x:v>
      </x:c>
    </x:row>
    <x:row r="193">
      <x:c r="A193" s="27" t="str">
        <x:v>Corporate tax</x:v>
      </x:c>
      <x:c r="B193" s="27" t="str">
        <x:v>$m</x:v>
      </x:c>
      <x:c r="C193" s="117" t="n">
        <x:v>0</x:v>
      </x:c>
      <x:c r="D193" s="117" t="n">
        <x:f>MAX(0,D192)*'Opportunity Assumptions'!$D$20</x:f>
        <x:v>0.04049999999999999</x:v>
      </x:c>
      <x:c r="E193" s="117" t="n">
        <x:f>MAX(0,E192)*'Opportunity Assumptions'!$D$21</x:f>
        <x:v>0.04602177</x:v>
      </x:c>
      <x:c r="F193" s="117" t="n">
        <x:f>MAX(0,F192)*'Opportunity Assumptions'!$D$22</x:f>
        <x:v>0.05209707374999999</x:v>
      </x:c>
      <x:c r="G193" s="117" t="n">
        <x:f>MAX(0,G192)*'Opportunity Assumptions'!$D$23</x:f>
        <x:v>0.0587520179296875</x:v>
      </x:c>
      <x:c r="H193" s="117" t="n">
        <x:f>MAX(0,H192)*'Opportunity Assumptions'!$D$24</x:f>
        <x:v>0.06603532593749999</x:v>
      </x:c>
      <x:c r="I193" s="117" t="n">
        <x:f>MAX(0,I192)*'Opportunity Assumptions'!$D$25</x:f>
        <x:v>0.07016253380859376</x:v>
      </x:c>
      <x:c r="J193" s="117" t="n">
        <x:f>MAX(0,J192)*'Opportunity Assumptions'!$D$26</x:f>
        <x:v>0.07454769217163087</x:v>
      </x:c>
      <x:c r="K193" s="117" t="n">
        <x:f>MAX(0,K192)*'Opportunity Assumptions'!$D$27</x:f>
        <x:v>0.07920692293235779</x:v>
      </x:c>
      <x:c r="L193" s="117" t="n">
        <x:f>MAX(0,L192)*'Opportunity Assumptions'!$D$28</x:f>
        <x:v>0.08415735561563016</x:v>
      </x:c>
      <x:c r="M193" s="117" t="n">
        <x:f>MAX(0,M192)*'Opportunity Assumptions'!$D$29</x:f>
        <x:v>0.08941719034160706</x:v>
      </x:c>
    </x:row>
    <x:row r="194">
      <x:c r="A194" s="27" t="str">
        <x:v>Capex</x:v>
      </x:c>
      <x:c r="B194" s="27" t="str">
        <x:v>$m</x:v>
      </x:c>
      <x:c r="C194" s="117" t="n">
        <x:v>0</x:v>
      </x:c>
      <x:c r="D194" s="117" t="n">
        <x:f>D187*'Opportunity Assumptions'!$N$9</x:f>
        <x:v>0.049499999999999995</x:v>
      </x:c>
      <x:c r="E194" s="117" t="n">
        <x:f>E187*'Opportunity Assumptions'!$N$9</x:f>
        <x:v>0.052569</x:v>
      </x:c>
      <x:c r="F194" s="117" t="n">
        <x:f>F187*'Opportunity Assumptions'!$N$9</x:f>
        <x:v>0.055854562499999996</x:v>
      </x:c>
      <x:c r="G194" s="117" t="n">
        <x:f>G187*'Opportunity Assumptions'!$N$9</x:f>
        <x:v>0.05934547265625</x:v>
      </x:c>
      <x:c r="H194" s="117" t="n">
        <x:f>H187*'Opportunity Assumptions'!$N$9</x:f>
        <x:v>0.06305456469726563</x:v>
      </x:c>
      <x:c r="I194" s="117" t="n">
        <x:f>I187*'Opportunity Assumptions'!$N$9</x:f>
        <x:v>0.06699547499084474</x:v>
      </x:c>
      <x:c r="J194" s="117" t="n">
        <x:f>J187*'Opportunity Assumptions'!$N$9</x:f>
        <x:v>0.07118269217777254</x:v>
      </x:c>
      <x:c r="K194" s="117" t="n">
        <x:f>K187*'Opportunity Assumptions'!$N$9</x:f>
        <x:v>0.07563161043888332</x:v>
      </x:c>
      <x:c r="L194" s="117" t="n">
        <x:f>L187*'Opportunity Assumptions'!$N$9</x:f>
        <x:v>0.08035858609131352</x:v>
      </x:c>
      <x:c r="M194" s="117" t="n">
        <x:f>M187*'Opportunity Assumptions'!$N$9</x:f>
        <x:v>0.08538099772202062</x:v>
      </x:c>
    </x:row>
    <x:row r="195">
      <x:c r="A195" s="27" t="str">
        <x:v>Change in NWC</x:v>
      </x:c>
      <x:c r="B195" s="27" t="str">
        <x:v>$m</x:v>
      </x:c>
      <x:c r="C195" s="117" t="n">
        <x:v>0</x:v>
      </x:c>
      <x:c r="D195" s="117" t="n">
        <x:f>0</x:f>
        <x:v>0</x:v>
      </x:c>
      <x:c r="E195" s="117" t="n">
        <x:f>(E187-D187)*'Opportunity Assumptions'!$O$9</x:f>
        <x:v>0.0019530000000000027</x:v>
      </x:c>
      <x:c r="F195" s="117" t="n">
        <x:f>(F187-E187)*'Opportunity Assumptions'!$O$9</x:f>
        <x:v>0.0020908125000000002</x:v>
      </x:c>
      <x:c r="G195" s="117" t="n">
        <x:f>(G187-F187)*'Opportunity Assumptions'!$O$9</x:f>
        <x:v>0.0022214882812500018</x:v>
      </x:c>
      <x:c r="H195" s="117" t="n">
        <x:f>(H187-G187)*'Opportunity Assumptions'!$O$9</x:f>
        <x:v>0.0023603312988281257</x:v>
      </x:c>
      <x:c r="I195" s="117" t="n">
        <x:f>(I187-H187)*'Opportunity Assumptions'!$O$9</x:f>
        <x:v>0.002507852005004886</x:v>
      </x:c>
      <x:c r="J195" s="117" t="n">
        <x:f>(J187-I187)*'Opportunity Assumptions'!$O$9</x:f>
        <x:v>0.002664592755317691</x:v>
      </x:c>
      <x:c r="K195" s="117" t="n">
        <x:f>(K187-J187)*'Opportunity Assumptions'!$O$9</x:f>
        <x:v>0.0028311298025250425</x:v>
      </x:c>
      <x:c r="L195" s="117" t="n">
        <x:f>(L187-K187)*'Opportunity Assumptions'!$O$9</x:f>
        <x:v>0.003008075415182862</x:v>
      </x:c>
      <x:c r="M195" s="117" t="n">
        <x:f>(M187-L187)*'Opportunity Assumptions'!$O$9</x:f>
        <x:v>0.003196080128631791</x:v>
      </x:c>
    </x:row>
    <x:row r="196">
      <x:c r="A196" s="27" t="str">
        <x:v>Free cash flow</x:v>
      </x:c>
      <x:c r="B196" s="27" t="str">
        <x:v>$m</x:v>
      </x:c>
      <x:c r="C196" s="117" t="n">
        <x:v>0</x:v>
      </x:c>
      <x:c r="D196" s="117" t="n">
        <x:f>D190-D193-D194-D195</x:f>
        <x:v>0.22499999999999998</x:v>
      </x:c>
      <x:c r="E196" s="117" t="n">
        <x:f>E190-E193-E194-E195</x:f>
        <x:v>0.25071273</x:v>
      </x:c>
      <x:c r="F196" s="117" t="n">
        <x:f>F190-F193-F194-F195</x:f>
        <x:v>0.28093948875</x:v>
      </x:c>
      <x:c r="G196" s="117" t="n">
        <x:f>G190-G193-G194-G195</x:f>
        <x:v>0.3139819801171875</x:v>
      </x:c>
      <x:c r="H196" s="117" t="n">
        <x:f>H190-H193-H194-H195</x:f>
        <x:v>0.35005736302734375</x:v>
      </x:c>
      <x:c r="I196" s="117" t="n">
        <x:f>I190-I193-I194-I195</x:f>
        <x:v>0.3719359482165528</x:v>
      </x:c>
      <x:c r="J196" s="117" t="n">
        <x:f>J190-J193-J194-J195</x:f>
        <x:v>0.3951819449800873</x:v>
      </x:c>
      <x:c r="K196" s="117" t="n">
        <x:f>K190-K193-K194-K195</x:f>
        <x:v>0.41988081654134274</x:v>
      </x:c>
      <x:c r="L196" s="117" t="n">
        <x:f>L190-L193-L194-L195</x:f>
        <x:v>0.4461233675751767</x:v>
      </x:c>
      <x:c r="M196" s="117" t="n">
        <x:f>M190-M193-M194-M195</x:f>
        <x:v>0.4740060780486253</x:v>
      </x:c>
    </x:row>
    <x:row r="197">
      <x:c r="A197" s="27" t="str">
        <x:v>Terminal value</x:v>
      </x:c>
      <x:c r="B197" s="27" t="str">
        <x:v>$m</x:v>
      </x:c>
      <x:c r="C197" s="117" t="n">
        <x:v>0</x:v>
      </x:c>
      <x:c r="D197" s="117" t="n">
        <x:f>0</x:f>
        <x:v>0</x:v>
      </x:c>
      <x:c r="E197" s="117" t="n">
        <x:f>0</x:f>
        <x:v>0</x:v>
      </x:c>
      <x:c r="F197" s="117" t="n">
        <x:f>0</x:f>
        <x:v>0</x:v>
      </x:c>
      <x:c r="G197" s="117" t="n">
        <x:f>0</x:f>
        <x:v>0</x:v>
      </x:c>
      <x:c r="H197" s="117" t="n">
        <x:f>0</x:f>
        <x:v>0</x:v>
      </x:c>
      <x:c r="I197" s="117" t="n">
        <x:f>0</x:f>
        <x:v>0</x:v>
      </x:c>
      <x:c r="J197" s="117" t="n">
        <x:f>0</x:f>
        <x:v>0</x:v>
      </x:c>
      <x:c r="K197" s="117" t="n">
        <x:f>0</x:f>
        <x:v>0</x:v>
      </x:c>
      <x:c r="L197" s="117" t="n">
        <x:f>0</x:f>
        <x:v>0</x:v>
      </x:c>
      <x:c r="M197" s="117" t="n">
        <x:f>M190*'Opportunity Assumptions'!$P$9*'Opportunity Assumptions'!$F$15</x:f>
        <x:v>3.9120020774453086</x:v>
      </x:c>
    </x:row>
    <x:row r="198">
      <x:c r="A198" s="119" t="str">
        <x:v>Equity cash flow</x:v>
      </x:c>
      <x:c r="B198" s="119" t="str">
        <x:v>$m</x:v>
      </x:c>
      <x:c r="C198" s="120" t="n">
        <x:f>-'Opportunity Assumptions'!$D$9</x:f>
        <x:v>-1.5</x:v>
      </x:c>
      <x:c r="D198" s="120" t="n">
        <x:f>IF(1&lt;='Opportunity Assumptions'!$H$15,MIN(0,D196),D196)+D197</x:f>
        <x:v>0</x:v>
      </x:c>
      <x:c r="E198" s="120" t="n">
        <x:f>IF(2&lt;='Opportunity Assumptions'!$H$15,MIN(0,E196),E196)+E197</x:f>
        <x:v>0</x:v>
      </x:c>
      <x:c r="F198" s="120" t="n">
        <x:f>IF(3&lt;='Opportunity Assumptions'!$H$15,MIN(0,F196),F196)+F197</x:f>
        <x:v>0.28093948875</x:v>
      </x:c>
      <x:c r="G198" s="120" t="n">
        <x:f>IF(4&lt;='Opportunity Assumptions'!$H$15,MIN(0,G196),G196)+G197</x:f>
        <x:v>0.3139819801171875</x:v>
      </x:c>
      <x:c r="H198" s="120" t="n">
        <x:f>IF(5&lt;='Opportunity Assumptions'!$H$15,MIN(0,H196),H196)+H197</x:f>
        <x:v>0.35005736302734375</x:v>
      </x:c>
      <x:c r="I198" s="120" t="n">
        <x:f>IF(6&lt;='Opportunity Assumptions'!$H$15,MIN(0,I196),I196)+I197</x:f>
        <x:v>0.3719359482165528</x:v>
      </x:c>
      <x:c r="J198" s="120" t="n">
        <x:f>IF(7&lt;='Opportunity Assumptions'!$H$15,MIN(0,J196),J196)+J197</x:f>
        <x:v>0.3951819449800873</x:v>
      </x:c>
      <x:c r="K198" s="120" t="n">
        <x:f>IF(8&lt;='Opportunity Assumptions'!$H$15,MIN(0,K196),K196)+K197</x:f>
        <x:v>0.41988081654134274</x:v>
      </x:c>
      <x:c r="L198" s="120" t="n">
        <x:f>IF(9&lt;='Opportunity Assumptions'!$H$15,MIN(0,L196),L196)+L197</x:f>
        <x:v>0.4461233675751767</x:v>
      </x:c>
      <x:c r="M198" s="120" t="n">
        <x:f>IF(10&lt;='Opportunity Assumptions'!$H$15,MIN(0,M196),M196)+M197</x:f>
        <x:v>4.386008155493934</x:v>
      </x:c>
    </x:row>
    <x:row r="199">
      <x:c r="A199" s="27" t="str">
        <x:v>Gross USD IRR</x:v>
      </x:c>
      <x:c r="B199" s="27" t="str">
        <x:v>%</x:v>
      </x:c>
      <x:c r="C199" s="118" t="n">
        <x:f>IF(AND(MIN(C198:M198)&lt;0,MAX(C198:M198)&gt;0),IRR(C198:M198),"")</x:f>
        <x:v>0.2085070530097936</x:v>
      </x:c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</x:row>
    <x:row r="200">
      <x:c r="A200" s="27" t="str">
        <x:v>Gross USD MOIC</x:v>
      </x:c>
      <x:c r="B200" s="27" t="str">
        <x:v>x</x:v>
      </x:c>
      <x:c r="C200" s="121" t="n">
        <x:f>SUMIF(C198:M198,"&gt;0",C198:M198)/-SUMIF(C198:M198,"&lt;0",C198:M198)</x:f>
        <x:v>4.642739376467749</x:v>
      </x:c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</x:row>
    <x:row r="201">
      <x:c r="A201" s="27" t="str">
        <x:v>NPV @ 20%</x:v>
      </x:c>
      <x:c r="B201" s="27" t="str">
        <x:v>$m</x:v>
      </x:c>
      <x:c r="C201" s="117" t="n">
        <x:f>NPV('Opportunity Assumptions'!$E$20,D198:M198)+C198</x:f>
        <x:v>0.08200568884867998</x:v>
      </x:c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</x:row>
    <x:row r="203">
      <x:c r="A203" s="32" t="str">
        <x:v>Distributed industrial power &amp; storage SPV — Upside</x:v>
      </x:c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</x:row>
    <x:row r="204">
      <x:c r="A204" s="28" t="str">
        <x:v>Metric</x:v>
      </x:c>
      <x:c r="B204" s="28" t="str">
        <x:v>Units</x:v>
      </x:c>
      <x:c r="C204" s="28" t="n">
        <x:v>0</x:v>
      </x:c>
      <x:c r="D204" s="28" t="n">
        <x:v>1</x:v>
      </x:c>
      <x:c r="E204" s="28" t="n">
        <x:v>2</x:v>
      </x:c>
      <x:c r="F204" s="28" t="n">
        <x:v>3</x:v>
      </x:c>
      <x:c r="G204" s="28" t="n">
        <x:v>4</x:v>
      </x:c>
      <x:c r="H204" s="28" t="n">
        <x:v>5</x:v>
      </x:c>
      <x:c r="I204" s="28" t="n">
        <x:v>6</x:v>
      </x:c>
      <x:c r="J204" s="28" t="n">
        <x:v>7</x:v>
      </x:c>
      <x:c r="K204" s="28" t="n">
        <x:v>8</x:v>
      </x:c>
      <x:c r="L204" s="28" t="n">
        <x:v>9</x:v>
      </x:c>
      <x:c r="M204" s="28" t="n">
        <x:v>10</x:v>
      </x:c>
    </x:row>
    <x:row r="205">
      <x:c r="A205" s="27" t="str">
        <x:v>Revenue</x:v>
      </x:c>
      <x:c r="B205" s="27" t="str">
        <x:v>$m</x:v>
      </x:c>
      <x:c r="C205" s="117" t="n">
        <x:v>0</x:v>
      </x:c>
      <x:c r="D205" s="117" t="n">
        <x:f>'Opportunity Assumptions'!$D$9*'Opportunity Assumptions'!$F$9*'Opportunity Assumptions'!$C$16</x:f>
        <x:v>1.008</x:v>
      </x:c>
      <x:c r="E205" s="117" t="n">
        <x:f>D205*(1+E206)</x:f>
        <x:v>1.141056</x:v>
      </x:c>
      <x:c r="F205" s="117" t="n">
        <x:f>E205*(1+F206)</x:f>
        <x:v>1.29224592</x:v>
      </x:c>
      <x:c r="G205" s="117" t="n">
        <x:f>F205*(1+G206)</x:f>
        <x:v>1.4634685044000002</x:v>
      </x:c>
      <x:c r="H205" s="117" t="n">
        <x:f>G205*(1+H206)</x:f>
        <x:v>1.6573780812330003</x:v>
      </x:c>
      <x:c r="I205" s="117" t="n">
        <x:f>H205*(1+I206)</x:f>
        <x:v>1.876980676996373</x:v>
      </x:c>
      <x:c r="J205" s="117" t="n">
        <x:f>I205*(1+J206)</x:f>
        <x:v>2.125680616698393</x:v>
      </x:c>
      <x:c r="K205" s="117" t="n">
        <x:f>J205*(1+K206)</x:f>
        <x:v>2.40733329841093</x:v>
      </x:c>
      <x:c r="L205" s="117" t="n">
        <x:f>K205*(1+L206)</x:f>
        <x:v>2.7263049604503786</x:v>
      </x:c>
      <x:c r="M205" s="117" t="n">
        <x:f>L205*(1+M206)</x:f>
        <x:v>3.087540367710054</x:v>
      </x:c>
    </x:row>
    <x:row r="206">
      <x:c r="A206" s="27" t="str">
        <x:v>USD revenue growth</x:v>
      </x:c>
      <x:c r="B206" s="27" t="str">
        <x:v>%</x:v>
      </x:c>
      <x:c r="C206" s="118" t="n">
        <x:v>0</x:v>
      </x:c>
      <x:c r="D206" s="118"/>
      <x:c r="E206" s="118" t="n">
        <x:f>MAX(-20%,'Opportunity Assumptions'!$G$9+'Opportunity Assumptions'!$D$16+'Opportunity Assumptions'!$H$9*'Opportunity Assumptions'!$I$9+(1-'Opportunity Assumptions'!$H$9)*('Opportunity Assumptions'!$B$21*'Opportunity Assumptions'!$J$9-MAX(0,'Opportunity Assumptions'!$C$21+'Opportunity Assumptions'!$G$16)))</x:f>
        <x:v>0.132</x:v>
      </x:c>
      <x:c r="F206" s="118" t="n">
        <x:f>MAX(-20%,'Opportunity Assumptions'!$G$9+'Opportunity Assumptions'!$D$16+'Opportunity Assumptions'!$H$9*'Opportunity Assumptions'!$I$9+(1-'Opportunity Assumptions'!$H$9)*('Opportunity Assumptions'!$B$22*'Opportunity Assumptions'!$J$9-MAX(0,'Opportunity Assumptions'!$C$22+'Opportunity Assumptions'!$G$16)))</x:f>
        <x:v>0.1325</x:v>
      </x:c>
      <x:c r="G206" s="118" t="n">
        <x:f>MAX(-20%,'Opportunity Assumptions'!$G$9+'Opportunity Assumptions'!$D$16+'Opportunity Assumptions'!$H$9*'Opportunity Assumptions'!$I$9+(1-'Opportunity Assumptions'!$H$9)*('Opportunity Assumptions'!$B$23*'Opportunity Assumptions'!$J$9-MAX(0,'Opportunity Assumptions'!$C$23+'Opportunity Assumptions'!$G$16)))</x:f>
        <x:v>0.1325</x:v>
      </x:c>
      <x:c r="H206" s="118" t="n">
        <x:f>MAX(-20%,'Opportunity Assumptions'!$G$9+'Opportunity Assumptions'!$D$16+'Opportunity Assumptions'!$H$9*'Opportunity Assumptions'!$I$9+(1-'Opportunity Assumptions'!$H$9)*('Opportunity Assumptions'!$B$24*'Opportunity Assumptions'!$J$9-MAX(0,'Opportunity Assumptions'!$C$24+'Opportunity Assumptions'!$G$16)))</x:f>
        <x:v>0.1325</x:v>
      </x:c>
      <x:c r="I206" s="118" t="n">
        <x:f>MAX(-20%,'Opportunity Assumptions'!$G$9+'Opportunity Assumptions'!$D$16+'Opportunity Assumptions'!$H$9*'Opportunity Assumptions'!$I$9+(1-'Opportunity Assumptions'!$H$9)*('Opportunity Assumptions'!$B$25*'Opportunity Assumptions'!$J$9-MAX(0,'Opportunity Assumptions'!$C$25+'Opportunity Assumptions'!$G$16)))</x:f>
        <x:v>0.1325</x:v>
      </x:c>
      <x:c r="J206" s="118" t="n">
        <x:f>MAX(-20%,'Opportunity Assumptions'!$G$9+'Opportunity Assumptions'!$D$16+'Opportunity Assumptions'!$H$9*'Opportunity Assumptions'!$I$9+(1-'Opportunity Assumptions'!$H$9)*('Opportunity Assumptions'!$B$26*'Opportunity Assumptions'!$J$9-MAX(0,'Opportunity Assumptions'!$C$26+'Opportunity Assumptions'!$G$16)))</x:f>
        <x:v>0.1325</x:v>
      </x:c>
      <x:c r="K206" s="118" t="n">
        <x:f>MAX(-20%,'Opportunity Assumptions'!$G$9+'Opportunity Assumptions'!$D$16+'Opportunity Assumptions'!$H$9*'Opportunity Assumptions'!$I$9+(1-'Opportunity Assumptions'!$H$9)*('Opportunity Assumptions'!$B$27*'Opportunity Assumptions'!$J$9-MAX(0,'Opportunity Assumptions'!$C$27+'Opportunity Assumptions'!$G$16)))</x:f>
        <x:v>0.1325</x:v>
      </x:c>
      <x:c r="L206" s="118" t="n">
        <x:f>MAX(-20%,'Opportunity Assumptions'!$G$9+'Opportunity Assumptions'!$D$16+'Opportunity Assumptions'!$H$9*'Opportunity Assumptions'!$I$9+(1-'Opportunity Assumptions'!$H$9)*('Opportunity Assumptions'!$B$28*'Opportunity Assumptions'!$J$9-MAX(0,'Opportunity Assumptions'!$C$28+'Opportunity Assumptions'!$G$16)))</x:f>
        <x:v>0.1325</x:v>
      </x:c>
      <x:c r="M206" s="118" t="n">
        <x:f>MAX(-20%,'Opportunity Assumptions'!$G$9+'Opportunity Assumptions'!$D$16+'Opportunity Assumptions'!$H$9*'Opportunity Assumptions'!$I$9+(1-'Opportunity Assumptions'!$H$9)*('Opportunity Assumptions'!$B$29*'Opportunity Assumptions'!$J$9-MAX(0,'Opportunity Assumptions'!$C$29+'Opportunity Assumptions'!$G$16)))</x:f>
        <x:v>0.1325</x:v>
      </x:c>
    </x:row>
    <x:row r="207">
      <x:c r="A207" s="27" t="str">
        <x:v>EBITDA margin</x:v>
      </x:c>
      <x:c r="B207" s="27" t="str">
        <x:v>%</x:v>
      </x:c>
      <x:c r="C207" s="118" t="n">
        <x:v>0</x:v>
      </x:c>
      <x:c r="D207" s="118" t="n">
        <x:f>MAX(3%,MIN(55%,'Opportunity Assumptions'!$K$9+('Opportunity Assumptions'!$L$9-'Opportunity Assumptions'!$K$9)*MIN(1,(1-1)/4)+'Opportunity Assumptions'!$E$16))</x:f>
        <x:v>0.385</x:v>
      </x:c>
      <x:c r="E207" s="118" t="n">
        <x:f>MAX(3%,MIN(55%,'Opportunity Assumptions'!$K$9+('Opportunity Assumptions'!$L$9-'Opportunity Assumptions'!$K$9)*MIN(1,(2-1)/4)+'Opportunity Assumptions'!$E$16))</x:f>
        <x:v>0.40249999999999997</x:v>
      </x:c>
      <x:c r="F207" s="118" t="n">
        <x:f>MAX(3%,MIN(55%,'Opportunity Assumptions'!$K$9+('Opportunity Assumptions'!$L$9-'Opportunity Assumptions'!$K$9)*MIN(1,(3-1)/4)+'Opportunity Assumptions'!$E$16))</x:f>
        <x:v>0.42000000000000004</x:v>
      </x:c>
      <x:c r="G207" s="118" t="n">
        <x:f>MAX(3%,MIN(55%,'Opportunity Assumptions'!$K$9+('Opportunity Assumptions'!$L$9-'Opportunity Assumptions'!$K$9)*MIN(1,(4-1)/4)+'Opportunity Assumptions'!$E$16))</x:f>
        <x:v>0.4375</x:v>
      </x:c>
      <x:c r="H207" s="118" t="n">
        <x:f>MAX(3%,MIN(55%,'Opportunity Assumptions'!$K$9+('Opportunity Assumptions'!$L$9-'Opportunity Assumptions'!$K$9)*MIN(1,(5-1)/4)+'Opportunity Assumptions'!$E$16))</x:f>
        <x:v>0.45499999999999996</x:v>
      </x:c>
      <x:c r="I207" s="118" t="n">
        <x:f>MAX(3%,MIN(55%,'Opportunity Assumptions'!$K$9+('Opportunity Assumptions'!$L$9-'Opportunity Assumptions'!$K$9)*MIN(1,(6-1)/4)+'Opportunity Assumptions'!$E$16))</x:f>
        <x:v>0.45499999999999996</x:v>
      </x:c>
      <x:c r="J207" s="118" t="n">
        <x:f>MAX(3%,MIN(55%,'Opportunity Assumptions'!$K$9+('Opportunity Assumptions'!$L$9-'Opportunity Assumptions'!$K$9)*MIN(1,(7-1)/4)+'Opportunity Assumptions'!$E$16))</x:f>
        <x:v>0.45499999999999996</x:v>
      </x:c>
      <x:c r="K207" s="118" t="n">
        <x:f>MAX(3%,MIN(55%,'Opportunity Assumptions'!$K$9+('Opportunity Assumptions'!$L$9-'Opportunity Assumptions'!$K$9)*MIN(1,(8-1)/4)+'Opportunity Assumptions'!$E$16))</x:f>
        <x:v>0.45499999999999996</x:v>
      </x:c>
      <x:c r="L207" s="118" t="n">
        <x:f>MAX(3%,MIN(55%,'Opportunity Assumptions'!$K$9+('Opportunity Assumptions'!$L$9-'Opportunity Assumptions'!$K$9)*MIN(1,(9-1)/4)+'Opportunity Assumptions'!$E$16))</x:f>
        <x:v>0.45499999999999996</x:v>
      </x:c>
      <x:c r="M207" s="118" t="n">
        <x:f>MAX(3%,MIN(55%,'Opportunity Assumptions'!$K$9+('Opportunity Assumptions'!$L$9-'Opportunity Assumptions'!$K$9)*MIN(1,(10-1)/4)+'Opportunity Assumptions'!$E$16))</x:f>
        <x:v>0.45499999999999996</x:v>
      </x:c>
    </x:row>
    <x:row r="208">
      <x:c r="A208" s="27" t="str">
        <x:v>EBITDA</x:v>
      </x:c>
      <x:c r="B208" s="27" t="str">
        <x:v>$m</x:v>
      </x:c>
      <x:c r="C208" s="117" t="n">
        <x:v>0</x:v>
      </x:c>
      <x:c r="D208" s="117" t="n">
        <x:f>D205*D207</x:f>
        <x:v>0.38808000000000004</x:v>
      </x:c>
      <x:c r="E208" s="117" t="n">
        <x:f>E205*E207</x:f>
        <x:v>0.45927503999999997</x:v>
      </x:c>
      <x:c r="F208" s="117" t="n">
        <x:f>F205*F207</x:f>
        <x:v>0.5427432864</x:v>
      </x:c>
      <x:c r="G208" s="117" t="n">
        <x:f>G205*G207</x:f>
        <x:v>0.6402674706750001</x:v>
      </x:c>
      <x:c r="H208" s="117" t="n">
        <x:f>H205*H207</x:f>
        <x:v>0.7541070269610151</x:v>
      </x:c>
      <x:c r="I208" s="117" t="n">
        <x:f>I205*I207</x:f>
        <x:v>0.8540262080333496</x:v>
      </x:c>
      <x:c r="J208" s="117" t="n">
        <x:f>J205*J207</x:f>
        <x:v>0.9671846805977686</x:v>
      </x:c>
      <x:c r="K208" s="117" t="n">
        <x:f>K205*K207</x:f>
        <x:v>1.095336650776973</x:v>
      </x:c>
      <x:c r="L208" s="117" t="n">
        <x:f>L205*L207</x:f>
        <x:v>1.2404687570049222</x:v>
      </x:c>
      <x:c r="M208" s="117" t="n">
        <x:f>M205*M207</x:f>
        <x:v>1.4048308673080745</x:v>
      </x:c>
    </x:row>
    <x:row r="209">
      <x:c r="A209" s="27" t="str">
        <x:v>D&amp;A</x:v>
      </x:c>
      <x:c r="B209" s="27" t="str">
        <x:v>$m</x:v>
      </x:c>
      <x:c r="C209" s="117" t="n">
        <x:v>0</x:v>
      </x:c>
      <x:c r="D209" s="117" t="n">
        <x:f>D205*'Opportunity Assumptions'!$M$9</x:f>
        <x:v>0.1008</x:v>
      </x:c>
      <x:c r="E209" s="117" t="n">
        <x:f>E205*'Opportunity Assumptions'!$M$9</x:f>
        <x:v>0.11410560000000002</x:v>
      </x:c>
      <x:c r="F209" s="117" t="n">
        <x:f>F205*'Opportunity Assumptions'!$M$9</x:f>
        <x:v>0.129224592</x:v>
      </x:c>
      <x:c r="G209" s="117" t="n">
        <x:f>G205*'Opportunity Assumptions'!$M$9</x:f>
        <x:v>0.14634685044000004</x:v>
      </x:c>
      <x:c r="H209" s="117" t="n">
        <x:f>H205*'Opportunity Assumptions'!$M$9</x:f>
        <x:v>0.16573780812330005</x:v>
      </x:c>
      <x:c r="I209" s="117" t="n">
        <x:f>I205*'Opportunity Assumptions'!$M$9</x:f>
        <x:v>0.18769806769963732</x:v>
      </x:c>
      <x:c r="J209" s="117" t="n">
        <x:f>J205*'Opportunity Assumptions'!$M$9</x:f>
        <x:v>0.2125680616698393</x:v>
      </x:c>
      <x:c r="K209" s="117" t="n">
        <x:f>K205*'Opportunity Assumptions'!$M$9</x:f>
        <x:v>0.24073332984109302</x:v>
      </x:c>
      <x:c r="L209" s="117" t="n">
        <x:f>L205*'Opportunity Assumptions'!$M$9</x:f>
        <x:v>0.27263049604503786</x:v>
      </x:c>
      <x:c r="M209" s="117" t="n">
        <x:f>M205*'Opportunity Assumptions'!$M$9</x:f>
        <x:v>0.30875403677100544</x:v>
      </x:c>
    </x:row>
    <x:row r="210">
      <x:c r="A210" s="27" t="str">
        <x:v>EBIT</x:v>
      </x:c>
      <x:c r="B210" s="27" t="str">
        <x:v>$m</x:v>
      </x:c>
      <x:c r="C210" s="117" t="n">
        <x:v>0</x:v>
      </x:c>
      <x:c r="D210" s="117" t="n">
        <x:f>D208-D209</x:f>
        <x:v>0.28728000000000004</x:v>
      </x:c>
      <x:c r="E210" s="117" t="n">
        <x:f>E208-E209</x:f>
        <x:v>0.34516943999999994</x:v>
      </x:c>
      <x:c r="F210" s="117" t="n">
        <x:f>F208-F209</x:f>
        <x:v>0.4135186944</x:v>
      </x:c>
      <x:c r="G210" s="117" t="n">
        <x:f>G208-G209</x:f>
        <x:v>0.49392062023500005</x:v>
      </x:c>
      <x:c r="H210" s="117" t="n">
        <x:f>H208-H209</x:f>
        <x:v>0.588369218837715</x:v>
      </x:c>
      <x:c r="I210" s="117" t="n">
        <x:f>I208-I209</x:f>
        <x:v>0.6663281403337122</x:v>
      </x:c>
      <x:c r="J210" s="117" t="n">
        <x:f>J208-J209</x:f>
        <x:v>0.7546166189279293</x:v>
      </x:c>
      <x:c r="K210" s="117" t="n">
        <x:f>K208-K209</x:f>
        <x:v>0.8546033209358801</x:v>
      </x:c>
      <x:c r="L210" s="117" t="n">
        <x:f>L208-L209</x:f>
        <x:v>0.9678382609598843</x:v>
      </x:c>
      <x:c r="M210" s="117" t="n">
        <x:f>M208-M209</x:f>
        <x:v>1.096076830537069</x:v>
      </x:c>
    </x:row>
    <x:row r="211">
      <x:c r="A211" s="27" t="str">
        <x:v>Corporate tax</x:v>
      </x:c>
      <x:c r="B211" s="27" t="str">
        <x:v>$m</x:v>
      </x:c>
      <x:c r="C211" s="117" t="n">
        <x:v>0</x:v>
      </x:c>
      <x:c r="D211" s="117" t="n">
        <x:f>MAX(0,D210)*'Opportunity Assumptions'!$D$20</x:f>
        <x:v>0.051710400000000004</x:v>
      </x:c>
      <x:c r="E211" s="117" t="n">
        <x:f>MAX(0,E210)*'Opportunity Assumptions'!$D$21</x:f>
        <x:v>0.06213049919999999</x:v>
      </x:c>
      <x:c r="F211" s="117" t="n">
        <x:f>MAX(0,F210)*'Opportunity Assumptions'!$D$22</x:f>
        <x:v>0.074433364992</x:v>
      </x:c>
      <x:c r="G211" s="117" t="n">
        <x:f>MAX(0,G210)*'Opportunity Assumptions'!$D$23</x:f>
        <x:v>0.0889057116423</x:v>
      </x:c>
      <x:c r="H211" s="117" t="n">
        <x:f>MAX(0,H210)*'Opportunity Assumptions'!$D$24</x:f>
        <x:v>0.10590645939078869</x:v>
      </x:c>
      <x:c r="I211" s="117" t="n">
        <x:f>MAX(0,I210)*'Opportunity Assumptions'!$D$25</x:f>
        <x:v>0.1199390652600682</x:v>
      </x:c>
      <x:c r="J211" s="117" t="n">
        <x:f>MAX(0,J210)*'Opportunity Assumptions'!$D$26</x:f>
        <x:v>0.13583099140702726</x:v>
      </x:c>
      <x:c r="K211" s="117" t="n">
        <x:f>MAX(0,K210)*'Opportunity Assumptions'!$D$27</x:f>
        <x:v>0.15382859776845842</x:v>
      </x:c>
      <x:c r="L211" s="117" t="n">
        <x:f>MAX(0,L210)*'Opportunity Assumptions'!$D$28</x:f>
        <x:v>0.17421088697277917</x:v>
      </x:c>
      <x:c r="M211" s="117" t="n">
        <x:f>MAX(0,M210)*'Opportunity Assumptions'!$D$29</x:f>
        <x:v>0.1972938294966724</x:v>
      </x:c>
    </x:row>
    <x:row r="212">
      <x:c r="A212" s="27" t="str">
        <x:v>Capex</x:v>
      </x:c>
      <x:c r="B212" s="27" t="str">
        <x:v>$m</x:v>
      </x:c>
      <x:c r="C212" s="117" t="n">
        <x:v>0</x:v>
      </x:c>
      <x:c r="D212" s="117" t="n">
        <x:f>D205*'Opportunity Assumptions'!$N$9</x:f>
        <x:v>0.05544</x:v>
      </x:c>
      <x:c r="E212" s="117" t="n">
        <x:f>E205*'Opportunity Assumptions'!$N$9</x:f>
        <x:v>0.06275808000000001</x:v>
      </x:c>
      <x:c r="F212" s="117" t="n">
        <x:f>F205*'Opportunity Assumptions'!$N$9</x:f>
        <x:v>0.0710735256</x:v>
      </x:c>
      <x:c r="G212" s="117" t="n">
        <x:f>G205*'Opportunity Assumptions'!$N$9</x:f>
        <x:v>0.08049076774200001</x:v>
      </x:c>
      <x:c r="H212" s="117" t="n">
        <x:f>H205*'Opportunity Assumptions'!$N$9</x:f>
        <x:v>0.09115579446781502</x:v>
      </x:c>
      <x:c r="I212" s="117" t="n">
        <x:f>I205*'Opportunity Assumptions'!$N$9</x:f>
        <x:v>0.10323393723480052</x:v>
      </x:c>
      <x:c r="J212" s="117" t="n">
        <x:f>J205*'Opportunity Assumptions'!$N$9</x:f>
        <x:v>0.1169124339184116</x:v>
      </x:c>
      <x:c r="K212" s="117" t="n">
        <x:f>K205*'Opportunity Assumptions'!$N$9</x:f>
        <x:v>0.13240333141260116</x:v>
      </x:c>
      <x:c r="L212" s="117" t="n">
        <x:f>L205*'Opportunity Assumptions'!$N$9</x:f>
        <x:v>0.1499467728247708</x:v>
      </x:c>
      <x:c r="M212" s="117" t="n">
        <x:f>M205*'Opportunity Assumptions'!$N$9</x:f>
        <x:v>0.16981472022405297</x:v>
      </x:c>
    </x:row>
    <x:row r="213">
      <x:c r="A213" s="27" t="str">
        <x:v>Change in NWC</x:v>
      </x:c>
      <x:c r="B213" s="27" t="str">
        <x:v>$m</x:v>
      </x:c>
      <x:c r="C213" s="117" t="n">
        <x:v>0</x:v>
      </x:c>
      <x:c r="D213" s="117" t="n">
        <x:f>0</x:f>
        <x:v>0</x:v>
      </x:c>
      <x:c r="E213" s="117" t="n">
        <x:f>(E205-D205)*'Opportunity Assumptions'!$O$9</x:f>
        <x:v>0.0046569600000000025</x:v>
      </x:c>
      <x:c r="F213" s="117" t="n">
        <x:f>(F205-E205)*'Opportunity Assumptions'!$O$9</x:f>
        <x:v>0.0052916472</x:v>
      </x:c>
      <x:c r="G213" s="117" t="n">
        <x:f>(G205-F205)*'Opportunity Assumptions'!$O$9</x:f>
        <x:v>0.005992790454000006</x:v>
      </x:c>
      <x:c r="H213" s="117" t="n">
        <x:f>(H205-G205)*'Opportunity Assumptions'!$O$9</x:f>
        <x:v>0.006786835189155006</x:v>
      </x:c>
      <x:c r="I213" s="117" t="n">
        <x:f>(I205-H205)*'Opportunity Assumptions'!$O$9</x:f>
        <x:v>0.0076860908517180455</x:v>
      </x:c>
      <x:c r="J213" s="117" t="n">
        <x:f>(J205-I205)*'Opportunity Assumptions'!$O$9</x:f>
        <x:v>0.008704497889570692</x:v>
      </x:c>
      <x:c r="K213" s="117" t="n">
        <x:f>(K205-J205)*'Opportunity Assumptions'!$O$9</x:f>
        <x:v>0.009857843859938807</x:v>
      </x:c>
      <x:c r="L213" s="117" t="n">
        <x:f>(L205-K205)*'Opportunity Assumptions'!$O$9</x:f>
        <x:v>0.011164008171380697</x:v>
      </x:c>
      <x:c r="M213" s="117" t="n">
        <x:f>(M205-L205)*'Opportunity Assumptions'!$O$9</x:f>
        <x:v>0.012643239254088645</x:v>
      </x:c>
    </x:row>
    <x:row r="214">
      <x:c r="A214" s="27" t="str">
        <x:v>Free cash flow</x:v>
      </x:c>
      <x:c r="B214" s="27" t="str">
        <x:v>$m</x:v>
      </x:c>
      <x:c r="C214" s="117" t="n">
        <x:v>0</x:v>
      </x:c>
      <x:c r="D214" s="117" t="n">
        <x:f>D208-D211-D212-D213</x:f>
        <x:v>0.28092960000000006</x:v>
      </x:c>
      <x:c r="E214" s="117" t="n">
        <x:f>E208-E211-E212-E213</x:f>
        <x:v>0.3297295008</x:v>
      </x:c>
      <x:c r="F214" s="117" t="n">
        <x:f>F208-F211-F212-F213</x:f>
        <x:v>0.391944748608</x:v>
      </x:c>
      <x:c r="G214" s="117" t="n">
        <x:f>G208-G211-G212-G213</x:f>
        <x:v>0.46487820083670006</x:v>
      </x:c>
      <x:c r="H214" s="117" t="n">
        <x:f>H208-H211-H212-H213</x:f>
        <x:v>0.5502579379132563</x:v>
      </x:c>
      <x:c r="I214" s="117" t="n">
        <x:f>I208-I211-I212-I213</x:f>
        <x:v>0.6231671146867628</x:v>
      </x:c>
      <x:c r="J214" s="117" t="n">
        <x:f>J208-J211-J212-J213</x:f>
        <x:v>0.7057367573827591</x:v>
      </x:c>
      <x:c r="K214" s="117" t="n">
        <x:f>K208-K211-K212-K213</x:f>
        <x:v>0.7992468777359747</x:v>
      </x:c>
      <x:c r="L214" s="117" t="n">
        <x:f>L208-L211-L212-L213</x:f>
        <x:v>0.9051470890359915</x:v>
      </x:c>
      <x:c r="M214" s="117" t="n">
        <x:f>M208-M211-M212-M213</x:f>
        <x:v>1.0250790783332604</x:v>
      </x:c>
    </x:row>
    <x:row r="215">
      <x:c r="A215" s="27" t="str">
        <x:v>Terminal value</x:v>
      </x:c>
      <x:c r="B215" s="27" t="str">
        <x:v>$m</x:v>
      </x:c>
      <x:c r="C215" s="117" t="n">
        <x:v>0</x:v>
      </x:c>
      <x:c r="D215" s="117" t="n">
        <x:f>0</x:f>
        <x:v>0</x:v>
      </x:c>
      <x:c r="E215" s="117" t="n">
        <x:f>0</x:f>
        <x:v>0</x:v>
      </x:c>
      <x:c r="F215" s="117" t="n">
        <x:f>0</x:f>
        <x:v>0</x:v>
      </x:c>
      <x:c r="G215" s="117" t="n">
        <x:f>0</x:f>
        <x:v>0</x:v>
      </x:c>
      <x:c r="H215" s="117" t="n">
        <x:f>0</x:f>
        <x:v>0</x:v>
      </x:c>
      <x:c r="I215" s="117" t="n">
        <x:f>0</x:f>
        <x:v>0</x:v>
      </x:c>
      <x:c r="J215" s="117" t="n">
        <x:f>0</x:f>
        <x:v>0</x:v>
      </x:c>
      <x:c r="K215" s="117" t="n">
        <x:f>0</x:f>
        <x:v>0</x:v>
      </x:c>
      <x:c r="L215" s="117" t="n">
        <x:f>0</x:f>
        <x:v>0</x:v>
      </x:c>
      <x:c r="M215" s="117" t="n">
        <x:f>M208*'Opportunity Assumptions'!$P$9*'Opportunity Assumptions'!$F$16</x:f>
        <x:v>10.789101060926011</x:v>
      </x:c>
    </x:row>
    <x:row r="216">
      <x:c r="A216" s="119" t="str">
        <x:v>Equity cash flow</x:v>
      </x:c>
      <x:c r="B216" s="119" t="str">
        <x:v>$m</x:v>
      </x:c>
      <x:c r="C216" s="120" t="n">
        <x:f>-'Opportunity Assumptions'!$D$9</x:f>
        <x:v>-1.5</x:v>
      </x:c>
      <x:c r="D216" s="120" t="n">
        <x:f>IF(1&lt;='Opportunity Assumptions'!$H$16,MIN(0,D214),D214)+D215</x:f>
        <x:v>0</x:v>
      </x:c>
      <x:c r="E216" s="120" t="n">
        <x:f>IF(2&lt;='Opportunity Assumptions'!$H$16,MIN(0,E214),E214)+E215</x:f>
        <x:v>0.3297295008</x:v>
      </x:c>
      <x:c r="F216" s="120" t="n">
        <x:f>IF(3&lt;='Opportunity Assumptions'!$H$16,MIN(0,F214),F214)+F215</x:f>
        <x:v>0.391944748608</x:v>
      </x:c>
      <x:c r="G216" s="120" t="n">
        <x:f>IF(4&lt;='Opportunity Assumptions'!$H$16,MIN(0,G214),G214)+G215</x:f>
        <x:v>0.46487820083670006</x:v>
      </x:c>
      <x:c r="H216" s="120" t="n">
        <x:f>IF(5&lt;='Opportunity Assumptions'!$H$16,MIN(0,H214),H214)+H215</x:f>
        <x:v>0.5502579379132563</x:v>
      </x:c>
      <x:c r="I216" s="120" t="n">
        <x:f>IF(6&lt;='Opportunity Assumptions'!$H$16,MIN(0,I214),I214)+I215</x:f>
        <x:v>0.6231671146867628</x:v>
      </x:c>
      <x:c r="J216" s="120" t="n">
        <x:f>IF(7&lt;='Opportunity Assumptions'!$H$16,MIN(0,J214),J214)+J215</x:f>
        <x:v>0.7057367573827591</x:v>
      </x:c>
      <x:c r="K216" s="120" t="n">
        <x:f>IF(8&lt;='Opportunity Assumptions'!$H$16,MIN(0,K214),K214)+K215</x:f>
        <x:v>0.7992468777359747</x:v>
      </x:c>
      <x:c r="L216" s="120" t="n">
        <x:f>IF(9&lt;='Opportunity Assumptions'!$H$16,MIN(0,L214),L214)+L215</x:f>
        <x:v>0.9051470890359915</x:v>
      </x:c>
      <x:c r="M216" s="120" t="n">
        <x:f>IF(10&lt;='Opportunity Assumptions'!$H$16,MIN(0,M214),M214)+M215</x:f>
        <x:v>11.814180139259271</x:v>
      </x:c>
    </x:row>
    <x:row r="217">
      <x:c r="A217" s="27" t="str">
        <x:v>Gross USD IRR</x:v>
      </x:c>
      <x:c r="B217" s="27" t="str">
        <x:v>%</x:v>
      </x:c>
      <x:c r="C217" s="118" t="n">
        <x:f>IF(AND(MIN(C216:M216)&lt;0,MAX(C216:M216)&gt;0),IRR(C216:M216),"")</x:f>
        <x:v>0.3517243062747869</x:v>
      </x:c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</x:row>
    <x:row r="218">
      <x:c r="A218" s="27" t="str">
        <x:v>Gross USD MOIC</x:v>
      </x:c>
      <x:c r="B218" s="27" t="str">
        <x:v>x</x:v>
      </x:c>
      <x:c r="C218" s="121" t="n">
        <x:f>SUMIF(C216:M216,"&gt;0",C216:M216)/-SUMIF(C216:M216,"&lt;0",C216:M216)</x:f>
        <x:v>11.056192244172477</x:v>
      </x:c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</x:row>
    <x:row r="219">
      <x:c r="A219" s="27" t="str">
        <x:v>NPV @ 20%</x:v>
      </x:c>
      <x:c r="B219" s="27" t="str">
        <x:v>$m</x:v>
      </x:c>
      <x:c r="C219" s="117" t="n">
        <x:f>NPV('Opportunity Assumptions'!$E$20,D216:M216)+C216</x:f>
        <x:v>2.076138450443291</x:v>
      </x:c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</x:row>
  </x:sheetData>
  <x:mergeCells>
    <x:mergeCell ref="A1:M2"/>
    <x:mergeCell ref="A3:H3"/>
    <x:mergeCell ref="A5:M5"/>
    <x:mergeCell ref="A23:M23"/>
    <x:mergeCell ref="A41:M41"/>
    <x:mergeCell ref="A59:M59"/>
    <x:mergeCell ref="A77:M77"/>
    <x:mergeCell ref="A95:M95"/>
    <x:mergeCell ref="A113:M113"/>
    <x:mergeCell ref="A131:M131"/>
    <x:mergeCell ref="A149:M149"/>
    <x:mergeCell ref="A167:M167"/>
    <x:mergeCell ref="A185:M185"/>
    <x:mergeCell ref="A203:M2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4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25" t="str">
        <x:v>Recommended $10M Portfolio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A3" s="26" t="str">
        <x:v>Optimizer maximizes probability-weighted NPV at a 20% gross USD hurdle subject to four bets, $3m maximum ticket, $1m reserve and independent demand drivers.</x:v>
      </x:c>
      <x:c r="B3" s="26"/>
      <x:c r="C3" s="26"/>
      <x:c r="D3" s="26"/>
      <x:c r="E3" s="26"/>
      <x:c r="F3" s="26"/>
      <x:c r="G3" s="26"/>
      <x:c r="H3" s="26"/>
      <x:c r="I3" s="27"/>
      <x:c r="J3" s="27"/>
      <x:c r="K3" s="27"/>
      <x:c r="L3" s="27"/>
      <x:c r="M3" s="27"/>
      <x:c r="N3" s="27"/>
      <x:c r="O3" s="27"/>
      <x:c r="P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A5" s="28" t="str">
        <x:v>Portfolio output</x:v>
      </x:c>
      <x:c r="B5" s="28" t="str">
        <x:v>Value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A6" s="27" t="str">
        <x:v>Probability-weighted gross USD IRR</x:v>
      </x:c>
      <x:c r="B6" s="122" t="n">
        <x:f>N19</x:f>
        <x:v>0.24554238525725947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</x:row>
    <x:row r="7">
      <x:c r="A7" s="27" t="str">
        <x:v>Probability-weighted gross USD MOIC</x:v>
      </x:c>
      <x:c r="B7" s="122" t="n">
        <x:f>O19</x:f>
        <x:v>6.502924623744664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</x:row>
    <x:row r="8">
      <x:c r="A8" s="27" t="str">
        <x:v>Probability-weighted NPV @ 20% ($m)</x:v>
      </x:c>
      <x:c r="B8" s="123" t="n">
        <x:f>P19</x:f>
        <x:v>3.480891872653361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</x:row>
    <x:row r="9">
      <x:c r="A9" s="27" t="str">
        <x:v>Base gross USD IRR</x:v>
      </x:c>
      <x:c r="B9" s="122" t="n">
        <x:f>N17</x:f>
        <x:v>0.2292766992453002</x:v>
      </x:c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</x:row>
    <x:row r="10">
      <x:c r="A10" s="27" t="str">
        <x:v>Downside gross USD IRR</x:v>
      </x:c>
      <x:c r="B10" s="122" t="n">
        <x:f>N16</x:f>
        <x:v>0.030466055563510196</x:v>
      </x:c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</x:row>
    <x:row r="11">
      <x:c r="A11" s="27" t="str">
        <x:v>Upside gross USD IRR</x:v>
      </x:c>
      <x:c r="B11" s="122" t="n">
        <x:f>N18</x:f>
        <x:v>0.3621395818786792</x:v>
      </x:c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</x:row>
    <x:row r="12">
      <x:c r="A12" s="27" t="str">
        <x:v>Invested capital / reserve ($m)</x:v>
      </x:c>
      <x:c r="B12" s="27" t="str">
        <x:f>SUM('Opportunity Assumptions'!D6:D9)&amp;" / "&amp;1</x:f>
        <x:v>9 / 1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</x:row>
    <x:row r="15">
      <x:c r="A15" s="28" t="str">
        <x:v>Scenario</x:v>
      </x:c>
      <x:c r="B15" s="28" t="str">
        <x:v>Probability</x:v>
      </x:c>
      <x:c r="C15" s="28" t="n">
        <x:v>0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  <x:c r="J15" s="28" t="n">
        <x:v>7</x:v>
      </x:c>
      <x:c r="K15" s="28" t="n">
        <x:v>8</x:v>
      </x:c>
      <x:c r="L15" s="28" t="n">
        <x:v>9</x:v>
      </x:c>
      <x:c r="M15" s="28" t="n">
        <x:v>10</x:v>
      </x:c>
      <x:c r="N15" s="28" t="str">
        <x:v>IRR</x:v>
      </x:c>
      <x:c r="O15" s="28" t="str">
        <x:v>MOIC</x:v>
      </x:c>
      <x:c r="P15" s="28" t="str">
        <x:v>NPV @ 20%</x:v>
      </x:c>
    </x:row>
    <x:row r="16">
      <x:c r="A16" s="27" t="str">
        <x:v>Downside</x:v>
      </x:c>
      <x:c r="B16" s="124" t="n">
        <x:f>'Opportunity Assumptions'!$B$14</x:f>
        <x:v>0.25</x:v>
      </x:c>
      <x:c r="C16" s="117" t="n">
        <x:f>'Cash Flows'!C18+'Cash Flows'!C72+'Cash Flows'!C126+'Cash Flows'!C180-1</x:f>
        <x:v>-10</x:v>
      </x:c>
      <x:c r="D16" s="117" t="n">
        <x:f>'Cash Flows'!D18+'Cash Flows'!D72+'Cash Flows'!D126+'Cash Flows'!D180</x:f>
        <x:v>0</x:v>
      </x:c>
      <x:c r="E16" s="117" t="n">
        <x:f>'Cash Flows'!E18+'Cash Flows'!E72+'Cash Flows'!E126+'Cash Flows'!E180</x:f>
        <x:v>0</x:v>
      </x:c>
      <x:c r="F16" s="117" t="n">
        <x:f>'Cash Flows'!F18+'Cash Flows'!F72+'Cash Flows'!F126+'Cash Flows'!F180</x:f>
        <x:v>0</x:v>
      </x:c>
      <x:c r="G16" s="117" t="n">
        <x:f>'Cash Flows'!G18+'Cash Flows'!G72+'Cash Flows'!G126+'Cash Flows'!G180</x:f>
        <x:v>0.7247457262647674</x:v>
      </x:c>
      <x:c r="H16" s="117" t="n">
        <x:f>'Cash Flows'!H18+'Cash Flows'!H72+'Cash Flows'!H126+'Cash Flows'!H180</x:f>
        <x:v>0.8946916800780389</x:v>
      </x:c>
      <x:c r="I16" s="117" t="n">
        <x:f>'Cash Flows'!I18+'Cash Flows'!I72+'Cash Flows'!I126+'Cash Flows'!I180</x:f>
        <x:v>0.9074253666276854</x:v>
      </x:c>
      <x:c r="J16" s="117" t="n">
        <x:f>'Cash Flows'!J18+'Cash Flows'!J72+'Cash Flows'!J126+'Cash Flows'!J180</x:f>
        <x:v>0.9221910899444089</x:v>
      </x:c>
      <x:c r="K16" s="117" t="n">
        <x:f>'Cash Flows'!K18+'Cash Flows'!K72+'Cash Flows'!K126+'Cash Flows'!K180</x:f>
        <x:v>0.9390655515342916</x:v>
      </x:c>
      <x:c r="L16" s="117" t="n">
        <x:f>'Cash Flows'!L18+'Cash Flows'!L72+'Cash Flows'!L126+'Cash Flows'!L180</x:f>
        <x:v>0.9581325565585849</x:v>
      </x:c>
      <x:c r="M16" s="117" t="n">
        <x:f>'Cash Flows'!M18+'Cash Flows'!M72+'Cash Flows'!M126+'Cash Flows'!M180+1</x:f>
        <x:v>7.576103396390705</x:v>
      </x:c>
      <x:c r="N16" s="118" t="n">
        <x:f>IF(AND(MIN(C16:M16)&lt;0,MAX(C16:M16)&gt;0),IRR(C16:M16),"")</x:f>
        <x:v>0.030466055563510196</x:v>
      </x:c>
      <x:c r="O16" s="121" t="n">
        <x:f>SUMIF(C16:M16,"&gt;0",C16:M16)/-SUMIF(C16:M16,"&lt;0",C16:M16)</x:f>
        <x:v>1.2922355367398481</x:v>
      </x:c>
      <x:c r="P16" s="117" t="n">
        <x:f>NPV('Opportunity Assumptions'!$E$20,D16:M16)+C16</x:f>
        <x:v>-7.101998951169007</x:v>
      </x:c>
    </x:row>
    <x:row r="17">
      <x:c r="A17" s="27" t="str">
        <x:v>Base</x:v>
      </x:c>
      <x:c r="B17" s="124" t="n">
        <x:f>'Opportunity Assumptions'!$B$15</x:f>
        <x:v>0.5</x:v>
      </x:c>
      <x:c r="C17" s="117" t="n">
        <x:f>'Cash Flows'!C36+'Cash Flows'!C90+'Cash Flows'!C144+'Cash Flows'!C198-1</x:f>
        <x:v>-10</x:v>
      </x:c>
      <x:c r="D17" s="117" t="n">
        <x:f>'Cash Flows'!D36+'Cash Flows'!D90+'Cash Flows'!D144+'Cash Flows'!D198</x:f>
        <x:v>0</x:v>
      </x:c>
      <x:c r="E17" s="117" t="n">
        <x:f>'Cash Flows'!E36+'Cash Flows'!E90+'Cash Flows'!E144+'Cash Flows'!E198</x:f>
        <x:v>0</x:v>
      </x:c>
      <x:c r="F17" s="117" t="n">
        <x:f>'Cash Flows'!F36+'Cash Flows'!F90+'Cash Flows'!F144+'Cash Flows'!F198</x:f>
        <x:v>1.4285946501590399</x:v>
      </x:c>
      <x:c r="G17" s="117" t="n">
        <x:f>'Cash Flows'!G36+'Cash Flows'!G90+'Cash Flows'!G144+'Cash Flows'!G198</x:f>
        <x:v>1.8253244246449691</x:v>
      </x:c>
      <x:c r="H17" s="117" t="n">
        <x:f>'Cash Flows'!H36+'Cash Flows'!H90+'Cash Flows'!H144+'Cash Flows'!H198</x:f>
        <x:v>2.2916174867445003</x:v>
      </x:c>
      <x:c r="I17" s="117" t="n">
        <x:f>'Cash Flows'!I36+'Cash Flows'!I90+'Cash Flows'!I144+'Cash Flows'!I198</x:f>
        <x:v>2.512411480141637</x:v>
      </x:c>
      <x:c r="J17" s="117" t="n">
        <x:f>'Cash Flows'!J36+'Cash Flows'!J90+'Cash Flows'!J144+'Cash Flows'!J198</x:f>
        <x:v>2.756917702749993</x:v>
      </x:c>
      <x:c r="K17" s="117" t="n">
        <x:f>'Cash Flows'!K36+'Cash Flows'!K90+'Cash Flows'!K144+'Cash Flows'!K198</x:f>
        <x:v>3.027923970766429</x:v>
      </x:c>
      <x:c r="L17" s="117" t="n">
        <x:f>'Cash Flows'!L36+'Cash Flows'!L90+'Cash Flows'!L144+'Cash Flows'!L198</x:f>
        <x:v>3.328567438664568</x:v>
      </x:c>
      <x:c r="M17" s="117" t="n">
        <x:f>'Cash Flows'!M36+'Cash Flows'!M90+'Cash Flows'!M144+'Cash Flows'!M198+1</x:f>
        <x:v>40.47810073732397</x:v>
      </x:c>
      <x:c r="N17" s="118" t="n">
        <x:f>IF(AND(MIN(C17:M17)&lt;0,MAX(C17:M17)&gt;0),IRR(C17:M17),"")</x:f>
        <x:v>0.2292766992453002</x:v>
      </x:c>
      <x:c r="O17" s="121" t="n">
        <x:f>SUMIF(C17:M17,"&gt;0",C17:M17)/-SUMIF(C17:M17,"&lt;0",C17:M17)</x:f>
        <x:v>5.76494578911951</x:v>
      </x:c>
      <x:c r="P17" s="117" t="n">
        <x:f>NPV('Opportunity Assumptions'!$E$20,D17:M17)+C17</x:f>
        <x:v>2.125493943578654</x:v>
      </x:c>
    </x:row>
    <x:row r="18">
      <x:c r="A18" s="27" t="str">
        <x:v>Upside</x:v>
      </x:c>
      <x:c r="B18" s="124" t="n">
        <x:f>'Opportunity Assumptions'!$B$16</x:f>
        <x:v>0.25</x:v>
      </x:c>
      <x:c r="C18" s="117" t="n">
        <x:f>'Cash Flows'!C54+'Cash Flows'!C108+'Cash Flows'!C162+'Cash Flows'!C216-1</x:f>
        <x:v>-10</x:v>
      </x:c>
      <x:c r="D18" s="117" t="n">
        <x:f>'Cash Flows'!D54+'Cash Flows'!D108+'Cash Flows'!D162+'Cash Flows'!D216</x:f>
        <x:v>0</x:v>
      </x:c>
      <x:c r="E18" s="117" t="n">
        <x:f>'Cash Flows'!E54+'Cash Flows'!E108+'Cash Flows'!E162+'Cash Flows'!E216</x:f>
        <x:v>1.626858635808</x:v>
      </x:c>
      <x:c r="F18" s="117" t="n">
        <x:f>'Cash Flows'!F54+'Cash Flows'!F108+'Cash Flows'!F162+'Cash Flows'!F216</x:f>
        <x:v>2.1629325640565327</x:v>
      </x:c>
      <x:c r="G18" s="117" t="n">
        <x:f>'Cash Flows'!G54+'Cash Flows'!G108+'Cash Flows'!G162+'Cash Flows'!G216</x:f>
        <x:v>2.832240343999416</x:v>
      </x:c>
      <x:c r="H18" s="117" t="n">
        <x:f>'Cash Flows'!H54+'Cash Flows'!H108+'Cash Flows'!H162+'Cash Flows'!H216</x:f>
        <x:v>3.6626187496523563</x:v>
      </x:c>
      <x:c r="I18" s="117" t="n">
        <x:f>'Cash Flows'!I54+'Cash Flows'!I108+'Cash Flows'!I162+'Cash Flows'!I216</x:f>
        <x:v>4.222940856028751</x:v>
      </x:c>
      <x:c r="J18" s="117" t="n">
        <x:f>'Cash Flows'!J54+'Cash Flows'!J108+'Cash Flows'!J162+'Cash Flows'!J216</x:f>
        <x:v>4.871803609673602</x:v>
      </x:c>
      <x:c r="K18" s="117" t="n">
        <x:f>'Cash Flows'!K54+'Cash Flows'!K108+'Cash Flows'!K162+'Cash Flows'!K216</x:f>
        <x:v>5.623655058582061</x:v>
      </x:c>
      <x:c r="L18" s="117" t="n">
        <x:f>'Cash Flows'!L54+'Cash Flows'!L108+'Cash Flows'!L162+'Cash Flows'!L216</x:f>
        <x:v>6.495372702431646</x:v>
      </x:c>
      <x:c r="M18" s="117" t="n">
        <x:f>'Cash Flows'!M54+'Cash Flows'!M108+'Cash Flows'!M162+'Cash Flows'!M216+1</x:f>
        <x:v>100.39729127976548</x:v>
      </x:c>
      <x:c r="N18" s="118" t="n">
        <x:f>IF(AND(MIN(C18:M18)&lt;0,MAX(C18:M18)&gt;0),IRR(C18:M18),"")</x:f>
        <x:v>0.3621395818786792</x:v>
      </x:c>
      <x:c r="O18" s="121" t="n">
        <x:f>SUMIF(C18:M18,"&gt;0",C18:M18)/-SUMIF(C18:M18,"&lt;0",C18:M18)</x:f>
        <x:v>13.189571379999785</x:v>
      </x:c>
      <x:c r="P18" s="117" t="n">
        <x:f>NPV('Opportunity Assumptions'!$E$20,D18:M18)+C18</x:f>
        <x:v>16.774578554625144</x:v>
      </x:c>
    </x:row>
    <x:row r="19">
      <x:c r="A19" s="27" t="str">
        <x:v>Probability weighted</x:v>
      </x:c>
      <x:c r="B19" s="124" t="n">
        <x:v>1</x:v>
      </x:c>
      <x:c r="C19" s="117" t="n">
        <x:f>C16*$B$16+C17*$B$17+C18*$B$18</x:f>
        <x:v>-10</x:v>
      </x:c>
      <x:c r="D19" s="117" t="n">
        <x:f>D16*$B$16+D17*$B$17+D18*$B$18</x:f>
        <x:v>0</x:v>
      </x:c>
      <x:c r="E19" s="117" t="n">
        <x:f>E16*$B$16+E17*$B$17+E18*$B$18</x:f>
        <x:v>0.406714658952</x:v>
      </x:c>
      <x:c r="F19" s="117" t="n">
        <x:f>F16*$B$16+F17*$B$17+F18*$B$18</x:f>
        <x:v>1.255030466093653</x:v>
      </x:c>
      <x:c r="G19" s="117" t="n">
        <x:f>G16*$B$16+G17*$B$17+G18*$B$18</x:f>
        <x:v>1.8019087298885306</x:v>
      </x:c>
      <x:c r="H19" s="117" t="n">
        <x:f>H16*$B$16+H17*$B$17+H18*$B$18</x:f>
        <x:v>2.285136350804849</x:v>
      </x:c>
      <x:c r="I19" s="117" t="n">
        <x:f>I16*$B$16+I17*$B$17+I18*$B$18</x:f>
        <x:v>2.538797295734928</x:v>
      </x:c>
      <x:c r="J19" s="117" t="n">
        <x:f>J16*$B$16+J17*$B$17+J18*$B$18</x:f>
        <x:v>2.8269575262794993</x:v>
      </x:c>
      <x:c r="K19" s="117" t="n">
        <x:f>K16*$B$16+K17*$B$17+K18*$B$18</x:f>
        <x:v>3.154642137912303</x:v>
      </x:c>
      <x:c r="L19" s="117" t="n">
        <x:f>L16*$B$16+L17*$B$17+L18*$B$18</x:f>
        <x:v>3.5276600340798416</x:v>
      </x:c>
      <x:c r="M19" s="117" t="n">
        <x:f>M16*$B$16+M17*$B$17+M18*$B$18</x:f>
        <x:v>47.23239903770103</x:v>
      </x:c>
      <x:c r="N19" s="118" t="n">
        <x:f>IF(AND(MIN(C19:M19)&lt;0,MAX(C19:M19)&gt;0),IRR(C19:M19),"")</x:f>
        <x:v>0.24554238525725947</x:v>
      </x:c>
      <x:c r="O19" s="121" t="n">
        <x:f>SUMIF(C19:M19,"&gt;0",C19:M19)/-SUMIF(C19:M19,"&lt;0",C19:M19)</x:f>
        <x:v>6.502924623744664</x:v>
      </x:c>
      <x:c r="P19" s="117" t="n">
        <x:f>NPV('Opportunity Assumptions'!$E$20,D19:M19)+C19</x:f>
        <x:v>3.480891872653361</x:v>
      </x:c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</x:row>
    <x:row r="22">
      <x:c r="A22" s="28" t="str">
        <x:v>Opportunity</x:v>
      </x:c>
      <x:c r="B22" s="28" t="str">
        <x:v>Allocation ($m)</x:v>
      </x:c>
      <x:c r="C22" s="28" t="str">
        <x:v>Sector score</x:v>
      </x:c>
      <x:c r="D22" s="28" t="str">
        <x:v>Base IRR</x:v>
      </x:c>
      <x:c r="E22" s="28" t="str">
        <x:v>Base MOIC</x:v>
      </x:c>
      <x:c r="F22" s="28" t="str">
        <x:v>Key official evidence</x:v>
      </x:c>
      <x:c r="G22" s="28" t="str">
        <x:v>Risk control</x:v>
      </x:c>
      <x:c r="H22" s="27"/>
      <x:c r="I22" s="27"/>
      <x:c r="J22" s="27"/>
      <x:c r="K22" s="27"/>
      <x:c r="L22" s="27"/>
      <x:c r="M22" s="27"/>
      <x:c r="N22" s="27"/>
      <x:c r="O22" s="27"/>
      <x:c r="P22" s="27"/>
    </x:row>
    <x:row r="23" ht="72" customHeight="1">
      <x:c r="A23" s="125" t="str">
        <x:f>'Opportunity Assumptions'!C6</x:f>
        <x:v>Civilian dual-use sensing &amp; autonomy platform</x:v>
      </x:c>
      <x:c r="B23" s="126" t="n">
        <x:f>'Opportunity Assumptions'!D6</x:f>
        <x:v>3</x:v>
      </x:c>
      <x:c r="C23" s="111" t="n">
        <x:f>'Opportunity Assumptions'!E6</x:f>
        <x:v>87.6911438467051</x:v>
      </x:c>
      <x:c r="D23" s="29" t="n">
        <x:f>'Cash Flows'!C37</x:f>
        <x:v>0.28945900134202845</x:v>
      </x:c>
      <x:c r="E23" s="30" t="n">
        <x:f>'Cash Flows'!C38</x:f>
        <x:v>8.987055719954933</x:v>
      </x:c>
      <x:c r="F23" s="35" t="str">
        <x:v>NACE 72: 19.5% operating profitability; +17.3% real turnover CAGR; official score 87.7.</x:v>
      </x:c>
      <x:c r="G23" s="35" t="str">
        <x:v>Tranched funding, IP security, end-use compliance, key-person insurance, civilian revenue floor</x:v>
      </x:c>
      <x:c r="H23" s="27"/>
      <x:c r="I23" s="27"/>
      <x:c r="J23" s="27"/>
      <x:c r="K23" s="27"/>
      <x:c r="L23" s="27"/>
      <x:c r="M23" s="27"/>
      <x:c r="N23" s="27"/>
      <x:c r="O23" s="27"/>
      <x:c r="P23" s="27"/>
    </x:row>
    <x:row r="24" ht="72" customHeight="1">
      <x:c r="A24" s="125" t="str">
        <x:f>'Opportunity Assumptions'!C7</x:f>
        <x:v>Soy/protein processing &amp; traceable ingredients</x:v>
      </x:c>
      <x:c r="B24" s="126" t="n">
        <x:f>'Opportunity Assumptions'!D7</x:f>
        <x:v>3</x:v>
      </x:c>
      <x:c r="C24" s="111" t="n">
        <x:f>'Opportunity Assumptions'!E7</x:f>
        <x:v>72.47186733427473</x:v>
      </x:c>
      <x:c r="D24" s="29" t="n">
        <x:f>'Cash Flows'!C91</x:f>
        <x:v>0.21795486898003863</x:v>
      </x:c>
      <x:c r="E24" s="30" t="n">
        <x:f>'Cash Flows'!C92</x:f>
        <x:v>5.157678861780663</x:v>
      </x:c>
      <x:c r="F24" s="35" t="str">
        <x:v>NACE 10: 4.7% operating profitability; +3.1% real turnover CAGR; official score 72.5.</x:v>
      </x:c>
      <x:c r="G24" s="35" t="str">
        <x:v>Borrowing-base controls, hedged/contracted feedstock, equipment collateral</x:v>
      </x:c>
      <x:c r="H24" s="27"/>
      <x:c r="I24" s="27"/>
      <x:c r="J24" s="27"/>
      <x:c r="K24" s="27"/>
      <x:c r="L24" s="27"/>
      <x:c r="M24" s="27"/>
      <x:c r="N24" s="27"/>
      <x:c r="O24" s="27"/>
      <x:c r="P24" s="27"/>
    </x:row>
    <x:row r="25" ht="72" customHeight="1">
      <x:c r="A25" s="125" t="str">
        <x:f>'Opportunity Assumptions'!C8</x:f>
        <x:v>Low-carbon construction materials plant</x:v>
      </x:c>
      <x:c r="B25" s="126" t="n">
        <x:f>'Opportunity Assumptions'!D8</x:f>
        <x:v>1.5</x:v>
      </x:c>
      <x:c r="C25" s="111" t="n">
        <x:f>'Opportunity Assumptions'!E8</x:f>
        <x:v>76.1467574369156</x:v>
      </x:c>
      <x:c r="D25" s="29" t="n">
        <x:f>'Cash Flows'!C145</x:f>
        <x:v>0.21049998055334834</x:v>
      </x:c>
      <x:c r="E25" s="30" t="n">
        <x:f>'Cash Flows'!C146</x:f>
        <x:v>4.8340967208577945</x:v>
      </x:c>
      <x:c r="F25" s="35" t="str">
        <x:v>NACE 23: 10.6% operating profitability; +8.7% real turnover CAGR; official score 76.1.</x:v>
      </x:c>
      <x:c r="G25" s="35" t="str">
        <x:v>Phased equipment orders, hard-asset collateral, minimum-price clauses</x:v>
      </x:c>
      <x:c r="H25" s="27"/>
      <x:c r="I25" s="27"/>
      <x:c r="J25" s="27"/>
      <x:c r="K25" s="27"/>
      <x:c r="L25" s="27"/>
      <x:c r="M25" s="27"/>
      <x:c r="N25" s="27"/>
      <x:c r="O25" s="27"/>
      <x:c r="P25" s="27"/>
    </x:row>
    <x:row r="26" ht="72" customHeight="1">
      <x:c r="A26" s="125" t="str">
        <x:f>'Opportunity Assumptions'!C9</x:f>
        <x:v>Distributed industrial power &amp; storage SPV</x:v>
      </x:c>
      <x:c r="B26" s="126" t="n">
        <x:f>'Opportunity Assumptions'!D9</x:f>
        <x:v>1.5</x:v>
      </x:c>
      <x:c r="C26" s="111" t="n">
        <x:f>'Opportunity Assumptions'!E9</x:f>
        <x:v>65.1228693933771</x:v>
      </x:c>
      <x:c r="D26" s="29" t="n">
        <x:f>'Cash Flows'!C199</x:f>
        <x:v>0.2085070530097936</x:v>
      </x:c>
      <x:c r="E26" s="30" t="n">
        <x:f>'Cash Flows'!C200</x:f>
        <x:v>4.642739376467749</x:v>
      </x:c>
      <x:c r="F26" s="35" t="str">
        <x:v>NACE 35: 3.7% operating profitability; -4.3% real turnover CAGR; official score 65.1.</x:v>
      </x:c>
      <x:c r="G26" s="35" t="str">
        <x:v>Multiple off-takers, modular phases, equipment security, political-risk insurance pursuit</x:v>
      </x:c>
      <x:c r="H26" s="27"/>
      <x:c r="I26" s="27"/>
      <x:c r="J26" s="27"/>
      <x:c r="K26" s="27"/>
      <x:c r="L26" s="27"/>
      <x:c r="M26" s="27"/>
      <x:c r="N26" s="27"/>
      <x:c r="O26" s="27"/>
      <x:c r="P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</x:row>
    <x:row r="28">
      <x:c r="A28" s="127" t="str">
        <x:v>Decision: proceed only to target-level diligence; do not deploy until off-take, end-use, security, insurance and governance conditions are satisfied.</x:v>
      </x:c>
      <x:c r="B28" s="127"/>
      <x:c r="C28" s="127"/>
      <x:c r="D28" s="127"/>
      <x:c r="E28" s="127"/>
      <x:c r="F28" s="127"/>
      <x:c r="G28" s="127"/>
      <x:c r="H28" s="27"/>
      <x:c r="I28" s="27"/>
      <x:c r="J28" s="27"/>
      <x:c r="K28" s="27"/>
      <x:c r="L28" s="27"/>
      <x:c r="M28" s="27"/>
      <x:c r="N28" s="27"/>
      <x:c r="O28" s="27"/>
      <x:c r="P28" s="27"/>
    </x:row>
  </x:sheetData>
  <x:mergeCells>
    <x:mergeCell ref="A1:P2"/>
    <x:mergeCell ref="A3:H3"/>
    <x:mergeCell ref="A28:G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2" hidden="0" customWidth="1"/>
  </x:cols>
  <x:sheetData>
    <x:row r="1">
      <x:c r="A1" s="25" t="str">
        <x:v>Model Checks</x:v>
      </x:c>
      <x:c r="B1" s="25"/>
      <x:c r="C1" s="25"/>
      <x:c r="D1" s="25"/>
      <x:c r="E1" s="25"/>
      <x:c r="F1" s="25"/>
      <x:c r="G1" s="25"/>
      <x:c r="H1" s="27"/>
    </x:row>
    <x:row r="2">
      <x:c r="A2" s="25"/>
      <x:c r="B2" s="25"/>
      <x:c r="C2" s="25"/>
      <x:c r="D2" s="25"/>
      <x:c r="E2" s="25"/>
      <x:c r="F2" s="25"/>
      <x:c r="G2" s="25"/>
      <x:c r="H2" s="27"/>
    </x:row>
    <x:row r="3">
      <x:c r="A3" s="26" t="str">
        <x:v>All checks should read OK before using the recommendation.</x:v>
      </x:c>
      <x:c r="B3" s="26"/>
      <x:c r="C3" s="26"/>
      <x:c r="D3" s="26"/>
      <x:c r="E3" s="26"/>
      <x:c r="F3" s="26"/>
      <x:c r="G3" s="26"/>
      <x:c r="H3" s="26"/>
    </x:row>
    <x:row r="4">
      <x:c r="A4" s="28" t="str">
        <x:v>Check</x:v>
      </x:c>
      <x:c r="B4" s="28" t="str">
        <x:v>Actual</x:v>
      </x:c>
      <x:c r="C4" s="28" t="str">
        <x:v>Expected</x:v>
      </x:c>
      <x:c r="D4" s="28" t="str">
        <x:v>Difference</x:v>
      </x:c>
      <x:c r="E4" s="28" t="str">
        <x:v>Tolerance</x:v>
      </x:c>
      <x:c r="F4" s="28" t="str">
        <x:v>Status</x:v>
      </x:c>
      <x:c r="G4" s="28" t="str">
        <x:v>Notes</x:v>
      </x:c>
      <x:c r="H4" s="27"/>
    </x:row>
    <x:row r="5">
      <x:c r="A5" s="27" t="str">
        <x:v>Total capital</x:v>
      </x:c>
      <x:c r="B5" s="27" t="n">
        <x:f>'Portfolio &amp; Scenarios'!C19*-1</x:f>
        <x:v>10</x:v>
      </x:c>
      <x:c r="C5" s="27" t="n">
        <x:v>10</x:v>
      </x:c>
      <x:c r="D5" s="27" t="n">
        <x:f>B5-C5</x:f>
        <x:v>0</x:v>
      </x:c>
      <x:c r="E5" s="27" t="n">
        <x:v>0.0001</x:v>
      </x:c>
      <x:c r="F5" s="27" t="str">
        <x:f>IF(ABS(D5)&lt;=E5,"OK","FAIL")</x:f>
        <x:v>OK</x:v>
      </x:c>
      <x:c r="G5" s="27" t="str">
        <x:v>Includes $9m investment and $1m reserve</x:v>
      </x:c>
      <x:c r="H5" s="27"/>
    </x:row>
    <x:row r="6">
      <x:c r="A6" s="27" t="str">
        <x:v>Invested capital</x:v>
      </x:c>
      <x:c r="B6" s="27" t="n">
        <x:f>SUM('Opportunity Assumptions'!D6:D9)</x:f>
        <x:v>9</x:v>
      </x:c>
      <x:c r="C6" s="27" t="n">
        <x:v>9</x:v>
      </x:c>
      <x:c r="D6" s="27" t="n">
        <x:f>B6-C6</x:f>
        <x:v>0</x:v>
      </x:c>
      <x:c r="E6" s="27" t="n">
        <x:v>0.0001</x:v>
      </x:c>
      <x:c r="F6" s="27" t="str">
        <x:f>IF(ABS(D6)&lt;=E6,"OK","FAIL")</x:f>
        <x:v>OK</x:v>
      </x:c>
      <x:c r="G6" s="27" t="str">
        <x:v>Four selected opportunities</x:v>
      </x:c>
      <x:c r="H6" s="27"/>
    </x:row>
    <x:row r="7">
      <x:c r="A7" s="27" t="str">
        <x:v>Reserve</x:v>
      </x:c>
      <x:c r="B7" s="27" t="n">
        <x:f>10-B6</x:f>
        <x:v>1</x:v>
      </x:c>
      <x:c r="C7" s="27" t="n">
        <x:v>1</x:v>
      </x:c>
      <x:c r="D7" s="27" t="n">
        <x:f>B7-C7</x:f>
        <x:v>0</x:v>
      </x:c>
      <x:c r="E7" s="27" t="n">
        <x:v>0.0001</x:v>
      </x:c>
      <x:c r="F7" s="27" t="str">
        <x:f>IF(ABS(D7)&lt;=E7,"OK","FAIL")</x:f>
        <x:v>OK</x:v>
      </x:c>
      <x:c r="G7" s="27" t="str">
        <x:v>Returned at cost in year 10</x:v>
      </x:c>
      <x:c r="H7" s="27"/>
    </x:row>
    <x:row r="8">
      <x:c r="A8" s="27" t="str">
        <x:v>Scenario probabilities</x:v>
      </x:c>
      <x:c r="B8" s="27" t="n">
        <x:f>SUM('Opportunity Assumptions'!B14:B16)</x:f>
        <x:v>1</x:v>
      </x:c>
      <x:c r="C8" s="27" t="n">
        <x:v>1</x:v>
      </x:c>
      <x:c r="D8" s="27" t="n">
        <x:f>B8-C8</x:f>
        <x:v>0</x:v>
      </x:c>
      <x:c r="E8" s="27" t="n">
        <x:v>0.0001</x:v>
      </x:c>
      <x:c r="F8" s="27" t="str">
        <x:f>IF(ABS(D8)&lt;=E8,"OK","FAIL")</x:f>
        <x:v>OK</x:v>
      </x:c>
      <x:c r="G8" s="27" t="str">
        <x:v>25% / 50% / 25%</x:v>
      </x:c>
      <x:c r="H8" s="27"/>
    </x:row>
    <x:row r="9">
      <x:c r="A9" s="27" t="str">
        <x:v>Opportunity count</x:v>
      </x:c>
      <x:c r="B9" s="27" t="n">
        <x:f>COUNTA('Opportunity Assumptions'!A6:A9)</x:f>
        <x:v>4</x:v>
      </x:c>
      <x:c r="C9" s="27" t="n">
        <x:v>4</x:v>
      </x:c>
      <x:c r="D9" s="27" t="n">
        <x:f>B9-C9</x:f>
        <x:v>0</x:v>
      </x:c>
      <x:c r="E9" s="27" t="n">
        <x:v>0</x:v>
      </x:c>
      <x:c r="F9" s="27" t="str">
        <x:f>IF(D9=0,"OK","FAIL")</x:f>
        <x:v>OK</x:v>
      </x:c>
      <x:c r="G9" s="27" t="str">
        <x:v>Required by mandate</x:v>
      </x:c>
      <x:c r="H9" s="27"/>
    </x:row>
    <x:row r="10">
      <x:c r="A10" s="27" t="str">
        <x:v>Maximum ticket</x:v>
      </x:c>
      <x:c r="B10" s="27" t="n">
        <x:f>MAX('Opportunity Assumptions'!D6:D9)</x:f>
        <x:v>3</x:v>
      </x:c>
      <x:c r="C10" s="27" t="n">
        <x:v>3</x:v>
      </x:c>
      <x:c r="D10" s="27" t="n">
        <x:f>MAX(0,B10-C10)</x:f>
        <x:v>0</x:v>
      </x:c>
      <x:c r="E10" s="27" t="n">
        <x:v>0</x:v>
      </x:c>
      <x:c r="F10" s="27" t="str">
        <x:f>IF(D10=0,"OK","FAIL")</x:f>
        <x:v>OK</x:v>
      </x:c>
      <x:c r="G10" s="27" t="str">
        <x:v>$3m maximum</x:v>
      </x:c>
      <x:c r="H10" s="27"/>
    </x:row>
    <x:row r="11">
      <x:c r="A11" s="27" t="str">
        <x:v>20% hurdle</x:v>
      </x:c>
      <x:c r="B11" s="118" t="n">
        <x:f>'Opportunity Assumptions'!E20</x:f>
        <x:v>0.2</x:v>
      </x:c>
      <x:c r="C11" s="118" t="n">
        <x:v>0.2</x:v>
      </x:c>
      <x:c r="D11" s="27" t="n">
        <x:f>B11-C11</x:f>
        <x:v>0</x:v>
      </x:c>
      <x:c r="E11" s="27" t="n">
        <x:v>0.0001</x:v>
      </x:c>
      <x:c r="F11" s="27" t="str">
        <x:f>IF(ABS(D11)&lt;=E11,"OK","FAIL")</x:f>
        <x:v>OK</x:v>
      </x:c>
      <x:c r="G11" s="27" t="str">
        <x:v>Gross USD hurdle</x:v>
      </x:c>
      <x:c r="H11" s="27"/>
    </x:row>
    <x:row r="12">
      <x:c r="A12" s="27" t="str">
        <x:v>Base IRR clears hurdle</x:v>
      </x:c>
      <x:c r="B12" s="118" t="n">
        <x:f>'Portfolio &amp; Scenarios'!B9</x:f>
        <x:v>0.2292766992453002</x:v>
      </x:c>
      <x:c r="C12" s="118" t="n">
        <x:v>0.2</x:v>
      </x:c>
      <x:c r="D12" s="27" t="n">
        <x:f>B12-C12</x:f>
        <x:v>0.029276699245300186</x:v>
      </x:c>
      <x:c r="E12" s="27" t="n">
        <x:v>0</x:v>
      </x:c>
      <x:c r="F12" s="27" t="str">
        <x:f>IF(D12&gt;=0,"OK","FAIL")</x:f>
        <x:v>OK</x:v>
      </x:c>
      <x:c r="G12" s="27" t="str">
        <x:v>Base case only</x:v>
      </x:c>
      <x:c r="H12" s="27"/>
    </x:row>
    <x:row r="13">
      <x:c r="A13" s="27" t="str">
        <x:v>Scenario sign pattern</x:v>
      </x:c>
      <x:c r="B13" s="27" t="n">
        <x:f>IF(AND(MIN('Portfolio &amp; Scenarios'!C16:M18)&lt;0,MAX('Portfolio &amp; Scenarios'!C16:M18)&gt;0),1,0)</x:f>
        <x:v>1</x:v>
      </x:c>
      <x:c r="C13" s="27" t="n">
        <x:v>1</x:v>
      </x:c>
      <x:c r="D13" s="27" t="n">
        <x:f>B13-C13</x:f>
        <x:v>0</x:v>
      </x:c>
      <x:c r="E13" s="27" t="n">
        <x:v>0</x:v>
      </x:c>
      <x:c r="F13" s="27" t="str">
        <x:f>IF(D13=0,"OK","FAIL")</x:f>
        <x:v>OK</x:v>
      </x:c>
      <x:c r="G13" s="27" t="str">
        <x:v>Required for valid IRR</x:v>
      </x:c>
      <x:c r="H13" s="27"/>
    </x:row>
    <x:row r="14">
      <x:c r="A14" s="27" t="str">
        <x:v>Territory policy</x:v>
      </x:c>
      <x:c r="B14" s="27" t="str">
        <x:v>Applied</x:v>
      </x:c>
      <x:c r="C14" s="27" t="str">
        <x:v>Applied</x:v>
      </x:c>
      <x:c r="D14" s="27" t="n">
        <x:f>IF(B14=C14,0,1)</x:f>
        <x:v>0</x:v>
      </x:c>
      <x:c r="E14" s="27" t="n">
        <x:v>0</x:v>
      </x:c>
      <x:c r="F14" s="27" t="str">
        <x:f>IF(D14=0,"OK","FAIL")</x:f>
        <x:v>OK</x:v>
      </x:c>
      <x:c r="G14" s="27" t="str">
        <x:v>Refresh S19 at diligence and closing</x:v>
      </x:c>
      <x:c r="H14" s="27"/>
    </x:row>
    <x:row r="15">
      <x:c r="A15" s="27" t="str">
        <x:v>Direct weapons</x:v>
      </x:c>
      <x:c r="B15" s="27" t="str">
        <x:v>Excluded</x:v>
      </x:c>
      <x:c r="C15" s="27" t="str">
        <x:v>Excluded</x:v>
      </x:c>
      <x:c r="D15" s="27" t="n">
        <x:f>IF(B15=C15,0,1)</x:f>
        <x:v>0</x:v>
      </x:c>
      <x:c r="E15" s="27" t="n">
        <x:v>0</x:v>
      </x:c>
      <x:c r="F15" s="27" t="str">
        <x:f>IF(D15=0,"OK","FAIL")</x:f>
        <x:v>OK</x:v>
      </x:c>
      <x:c r="G15" s="27" t="str">
        <x:v>Civilian dual-use revenue covenant</x:v>
      </x:c>
      <x:c r="H15" s="27"/>
    </x:row>
    <x:row r="16">
      <x:c r="A16" s="27" t="str">
        <x:v>Base leverage/incentive</x:v>
      </x:c>
      <x:c r="B16" s="27" t="str">
        <x:v>Excluded</x:v>
      </x:c>
      <x:c r="C16" s="27" t="str">
        <x:v>Excluded</x:v>
      </x:c>
      <x:c r="D16" s="27" t="n">
        <x:f>IF(B16=C16,0,1)</x:f>
        <x:v>0</x:v>
      </x:c>
      <x:c r="E16" s="27" t="n">
        <x:v>0</x:v>
      </x:c>
      <x:c r="F16" s="27" t="str">
        <x:f>IF(D16=0,"OK","FAIL")</x:f>
        <x:v>OK</x:v>
      </x:c>
      <x:c r="G16" s="27" t="str">
        <x:v>Potential financing is upside only</x:v>
      </x:c>
      <x:c r="H16" s="27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32" t="str">
        <x:v>Overall model status</x:v>
      </x:c>
      <x:c r="B18" s="32"/>
      <x:c r="C18" s="32"/>
      <x:c r="D18" s="32"/>
      <x:c r="E18" s="32"/>
      <x:c r="F18" s="32"/>
      <x:c r="G18" s="128" t="str">
        <x:f>IF(COUNTIF(F5:F16,"FAIL")=0,"OK","FAIL")</x:f>
        <x:v>OK</x:v>
      </x:c>
      <x:c r="H18" s="27"/>
    </x:row>
  </x:sheetData>
  <x:mergeCells>
    <x:mergeCell ref="A1:G2"/>
    <x:mergeCell ref="A3:H3"/>
    <x:mergeCell ref="A18:F18"/>
  </x:mergeCells>
  <x:conditionalFormatting sqref="F5:F16">
    <x:cfRule type="containsText" dxfId="1" priority="1" operator="containsText" text="OK"/>
    <x:cfRule type="containsText" dxfId="2" priority="2" operator="containsText" text="FAIL"/>
  </x:conditionalFormatting>
  <x:pageMargins left="0.7" right="0.7" top="0.75" bottom="0.75" header="0.3" footer="0.3"/>
</x:worksheet>
</file>